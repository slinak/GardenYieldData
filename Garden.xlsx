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 Yield" sheetId="1" r:id="rId4"/>
    <sheet state="visible" name="2023 Totals" sheetId="2" r:id="rId5"/>
    <sheet state="visible" name="2024 Yield" sheetId="3" r:id="rId6"/>
    <sheet state="visible" name="2024 Totals" sheetId="4" r:id="rId7"/>
    <sheet state="visible" name="2025 Yield" sheetId="5" r:id="rId8"/>
    <sheet state="visible" name="2025 Totals" sheetId="6" r:id="rId9"/>
  </sheets>
  <definedNames/>
  <calcPr/>
</workbook>
</file>

<file path=xl/sharedStrings.xml><?xml version="1.0" encoding="utf-8"?>
<sst xmlns="http://schemas.openxmlformats.org/spreadsheetml/2006/main" count="955" uniqueCount="81">
  <si>
    <t>Tomatoes</t>
  </si>
  <si>
    <t>Potatoes</t>
  </si>
  <si>
    <t>Day Total</t>
  </si>
  <si>
    <t>Date</t>
  </si>
  <si>
    <t>Raspberries</t>
  </si>
  <si>
    <t>Strawberries</t>
  </si>
  <si>
    <t>Snap Peas</t>
  </si>
  <si>
    <t>Green Beans</t>
  </si>
  <si>
    <t>Green Bean Seeds</t>
  </si>
  <si>
    <t>Onions (qty)</t>
  </si>
  <si>
    <t>Broccoli</t>
  </si>
  <si>
    <t>Blueberries</t>
  </si>
  <si>
    <t>Cucumber</t>
  </si>
  <si>
    <t>Green Pepper</t>
  </si>
  <si>
    <t>Plum</t>
  </si>
  <si>
    <t>Black Berries</t>
  </si>
  <si>
    <t>Small</t>
  </si>
  <si>
    <t>Golden Cherry</t>
  </si>
  <si>
    <t>Large</t>
  </si>
  <si>
    <t>Heirloom</t>
  </si>
  <si>
    <t>Golden Jubilee</t>
  </si>
  <si>
    <t>San Marzano</t>
  </si>
  <si>
    <t>Peaches</t>
  </si>
  <si>
    <t>Corn</t>
  </si>
  <si>
    <t>Corn Seeds</t>
  </si>
  <si>
    <t>Banana Pepper</t>
  </si>
  <si>
    <t>Acorn Squash</t>
  </si>
  <si>
    <t>Red</t>
  </si>
  <si>
    <t>Yellow/Yukon</t>
  </si>
  <si>
    <t>Butternut Squash</t>
  </si>
  <si>
    <t>Jalapeno</t>
  </si>
  <si>
    <t>Zucchini</t>
  </si>
  <si>
    <t>Pumpkin</t>
  </si>
  <si>
    <t>Brussel Sprouts</t>
  </si>
  <si>
    <t>Grams</t>
  </si>
  <si>
    <t>Pounds</t>
  </si>
  <si>
    <t>N/A</t>
  </si>
  <si>
    <t>Totals By Plant</t>
  </si>
  <si>
    <t>Item</t>
  </si>
  <si>
    <t>SubType</t>
  </si>
  <si>
    <t>Total Weight (g)</t>
  </si>
  <si>
    <t>Total Weight (lbs)</t>
  </si>
  <si>
    <t>Tomato</t>
  </si>
  <si>
    <t>Red Cherry</t>
  </si>
  <si>
    <t>Grams to LBS</t>
  </si>
  <si>
    <t>Grams to Kilograms</t>
  </si>
  <si>
    <t>Total (g)</t>
  </si>
  <si>
    <t>Raspberry</t>
  </si>
  <si>
    <t>Total (kg)</t>
  </si>
  <si>
    <t>Strawberry</t>
  </si>
  <si>
    <t>Total (lbs)</t>
  </si>
  <si>
    <t>Snap Pea</t>
  </si>
  <si>
    <t>Onion</t>
  </si>
  <si>
    <t>Hulaberry</t>
  </si>
  <si>
    <t>Blueberry</t>
  </si>
  <si>
    <t>2023 Green Beans</t>
  </si>
  <si>
    <t>Blackberry</t>
  </si>
  <si>
    <t>Better Boy</t>
  </si>
  <si>
    <t>Beefsteak</t>
  </si>
  <si>
    <t>Purple</t>
  </si>
  <si>
    <t>Bush Goliath</t>
  </si>
  <si>
    <t>Cherry Tomato</t>
  </si>
  <si>
    <t>Roma</t>
  </si>
  <si>
    <t>Potato</t>
  </si>
  <si>
    <t>Spaghetti Squash</t>
  </si>
  <si>
    <t>Peach</t>
  </si>
  <si>
    <t>Cannabis</t>
  </si>
  <si>
    <t xml:space="preserve"> Lettuce</t>
  </si>
  <si>
    <t>Peppers</t>
  </si>
  <si>
    <t>Green Bean</t>
  </si>
  <si>
    <t>Romaine</t>
  </si>
  <si>
    <t>Little Gem</t>
  </si>
  <si>
    <t>Anaheim</t>
  </si>
  <si>
    <t>Poblano</t>
  </si>
  <si>
    <t>Habanero</t>
  </si>
  <si>
    <t>Bell</t>
  </si>
  <si>
    <t>Cherry</t>
  </si>
  <si>
    <t>Gold</t>
  </si>
  <si>
    <t>Cantaloupe</t>
  </si>
  <si>
    <t>Gram to LBS Multiplier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</si>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</sst>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/d/yy"/>
    <numFmt numFmtId="166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sz val="9.0"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2" numFmtId="0" xfId="0" applyFont="1"/>
    <xf borderId="0" fillId="2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3" fontId="1" numFmtId="0" xfId="0" applyAlignment="1" applyFill="1" applyFont="1">
      <alignment readingOrder="0" shrinkToFit="0" textRotation="45" wrapText="1"/>
    </xf>
    <xf borderId="0" fillId="0" fontId="1" numFmtId="0" xfId="0" applyAlignment="1" applyFont="1">
      <alignment readingOrder="0" shrinkToFit="0" textRotation="45" wrapText="1"/>
    </xf>
    <xf borderId="0" fillId="0" fontId="1" numFmtId="4" xfId="0" applyAlignment="1" applyFont="1" applyNumberFormat="1">
      <alignment readingOrder="0" shrinkToFit="0" textRotation="45" wrapText="1"/>
    </xf>
    <xf borderId="0" fillId="0" fontId="1" numFmtId="0" xfId="0" applyAlignment="1" applyFont="1">
      <alignment shrinkToFit="0" textRotation="45" wrapText="1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0" fontId="2" numFmtId="0" xfId="0" applyFont="1"/>
    <xf borderId="0" fillId="0" fontId="2" numFmtId="4" xfId="0" applyFont="1" applyNumberFormat="1"/>
    <xf borderId="0" fillId="3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3" fontId="2" numFmtId="165" xfId="0" applyAlignment="1" applyFont="1" applyNumberFormat="1">
      <alignment readingOrder="0"/>
    </xf>
    <xf borderId="0" fillId="3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4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4" numFmtId="0" xfId="0" applyFont="1"/>
    <xf borderId="0" fillId="0" fontId="3" numFmtId="0" xfId="0" applyFont="1"/>
    <xf borderId="0" fillId="0" fontId="3" numFmtId="4" xfId="0" applyFont="1" applyNumberFormat="1"/>
    <xf borderId="0" fillId="0" fontId="3" numFmtId="0" xfId="0" applyAlignment="1" applyFont="1">
      <alignment horizontal="center" readingOrder="0" vertical="center"/>
    </xf>
    <xf borderId="0" fillId="5" fontId="5" numFmtId="0" xfId="0" applyFill="1" applyFont="1"/>
    <xf borderId="0" fillId="5" fontId="3" numFmtId="4" xfId="0" applyFont="1" applyNumberFormat="1"/>
    <xf borderId="0" fillId="5" fontId="3" numFmtId="0" xfId="0" applyFont="1"/>
    <xf borderId="0" fillId="0" fontId="1" numFmtId="0" xfId="0" applyAlignment="1" applyFont="1">
      <alignment readingOrder="0"/>
    </xf>
    <xf borderId="0" fillId="0" fontId="5" numFmtId="0" xfId="0" applyFont="1"/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166" xfId="0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6" fontId="1" numFmtId="166" xfId="0" applyAlignment="1" applyFill="1" applyFont="1" applyNumberFormat="1">
      <alignment horizontal="center" readingOrder="0"/>
    </xf>
    <xf borderId="0" fillId="6" fontId="2" numFmtId="0" xfId="0" applyFont="1"/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horizontal="center"/>
    </xf>
    <xf borderId="0" fillId="7" fontId="1" numFmtId="4" xfId="0" applyAlignment="1" applyFill="1" applyFont="1" applyNumberFormat="1">
      <alignment horizontal="center" readingOrder="0"/>
    </xf>
    <xf borderId="0" fillId="7" fontId="2" numFmtId="4" xfId="0" applyAlignment="1" applyFont="1" applyNumberFormat="1">
      <alignment horizontal="center" readingOrder="0"/>
    </xf>
    <xf borderId="0" fillId="7" fontId="2" numFmtId="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8" fontId="1" numFmtId="0" xfId="0" applyAlignment="1" applyFill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2" numFmtId="2" xfId="0" applyAlignment="1" applyFont="1" applyNumberFormat="1">
      <alignment horizontal="center" readingOrder="0"/>
    </xf>
    <xf borderId="0" fillId="8" fontId="1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8" fontId="2" numFmtId="2" xfId="0" applyAlignment="1" applyFont="1" applyNumberFormat="1">
      <alignment horizontal="center"/>
    </xf>
    <xf borderId="0" fillId="8" fontId="1" numFmtId="0" xfId="0" applyFont="1"/>
    <xf borderId="0" fillId="8" fontId="2" numFmtId="0" xfId="0" applyFont="1"/>
    <xf borderId="0" fillId="8" fontId="2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2">
    <tableStyle count="3" pivot="0" name="2024 Yield-style">
      <tableStyleElement dxfId="1" type="headerRow"/>
      <tableStyleElement dxfId="2" type="firstRowStripe"/>
      <tableStyleElement dxfId="3" type="secondRowStripe"/>
    </tableStyle>
    <tableStyle count="2" pivot="0" name="2025 Yield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Yield (lbs) By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'2023 Yield'!$AG$3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4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65"/>
          </c:dPt>
          <c:dPt>
            <c:idx val="67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68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'2023 Yield'!$A$4:$A$74</c:f>
            </c:strRef>
          </c:cat>
          <c:val>
            <c:numRef>
              <c:f>'2023 Yield'!$AG$4:$AG$73</c:f>
              <c:numCache/>
            </c:numRef>
          </c:val>
        </c:ser>
        <c:axId val="30867508"/>
        <c:axId val="1275078774"/>
      </c:barChart>
      <c:catAx>
        <c:axId val="30867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078774"/>
      </c:catAx>
      <c:valAx>
        <c:axId val="1275078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6750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Yield (g) By Day By Source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'2023 Yield'!$B$2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Yield'!$B$3:$B$74</c:f>
              <c:numCache/>
            </c:numRef>
          </c:val>
        </c:ser>
        <c:ser>
          <c:idx val="1"/>
          <c:order val="1"/>
          <c:tx>
            <c:strRef>
              <c:f>'2023 Yield'!$C$2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Yield'!$C$3:$C$74</c:f>
              <c:numCache/>
            </c:numRef>
          </c:val>
        </c:ser>
        <c:ser>
          <c:idx val="2"/>
          <c:order val="2"/>
          <c:tx>
            <c:strRef>
              <c:f>'2023 Yield'!$E$2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Yield'!$E$3:$E$74</c:f>
              <c:numCache/>
            </c:numRef>
          </c:val>
        </c:ser>
        <c:ser>
          <c:idx val="3"/>
          <c:order val="3"/>
          <c:tx>
            <c:strRef>
              <c:f>'2023 Yield'!$J$2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Yield'!$J$3:$J$74</c:f>
              <c:numCache/>
            </c:numRef>
          </c:val>
        </c:ser>
        <c:ser>
          <c:idx val="4"/>
          <c:order val="4"/>
          <c:tx>
            <c:strRef>
              <c:f>'2023 Yield'!$L$2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Yield'!$L$3:$L$74</c:f>
              <c:numCache/>
            </c:numRef>
          </c:val>
        </c:ser>
        <c:ser>
          <c:idx val="5"/>
          <c:order val="5"/>
          <c:tx>
            <c:strRef>
              <c:f>'2023 Yield'!$M$2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Yield'!$M$3:$M$74</c:f>
              <c:numCache/>
            </c:numRef>
          </c:val>
        </c:ser>
        <c:ser>
          <c:idx val="6"/>
          <c:order val="6"/>
          <c:tx>
            <c:strRef>
              <c:f>'2023 Yield'!$N$2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Yield'!$N$3:$N$74</c:f>
              <c:numCache/>
            </c:numRef>
          </c:val>
        </c:ser>
        <c:ser>
          <c:idx val="7"/>
          <c:order val="7"/>
          <c:tx>
            <c:v>Small Tomato</c:v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Yield'!$O$3:$O$74</c:f>
              <c:numCache/>
            </c:numRef>
          </c:val>
        </c:ser>
        <c:ser>
          <c:idx val="8"/>
          <c:order val="8"/>
          <c:tx>
            <c:strRef>
              <c:f>'2023 Yield'!$P$2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Yield'!$P$3:$P$74</c:f>
              <c:numCache/>
            </c:numRef>
          </c:val>
        </c:ser>
        <c:ser>
          <c:idx val="9"/>
          <c:order val="9"/>
          <c:tx>
            <c:v>Large Tomato</c:v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Yield'!$Q$3:$Q$74</c:f>
              <c:numCache/>
            </c:numRef>
          </c:val>
        </c:ser>
        <c:ser>
          <c:idx val="10"/>
          <c:order val="10"/>
          <c:tx>
            <c:v>Heirloom Tomato</c:v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Yield'!$R$3:$R$74</c:f>
              <c:numCache/>
            </c:numRef>
          </c:val>
        </c:ser>
        <c:ser>
          <c:idx val="11"/>
          <c:order val="11"/>
          <c:tx>
            <c:strRef>
              <c:f>'2023 Yield'!$S$2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Yield'!$S$3:$S$74</c:f>
              <c:numCache/>
            </c:numRef>
          </c:val>
        </c:ser>
        <c:ser>
          <c:idx val="12"/>
          <c:order val="12"/>
          <c:tx>
            <c:strRef>
              <c:f>'2023 Yield'!$T$2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Yield'!$T$3:$T$74</c:f>
              <c:numCache/>
            </c:numRef>
          </c:val>
        </c:ser>
        <c:ser>
          <c:idx val="13"/>
          <c:order val="13"/>
          <c:tx>
            <c:strRef>
              <c:f>'2023 Yield'!$U$2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Yield'!$U$3:$U$74</c:f>
              <c:numCache/>
            </c:numRef>
          </c:val>
        </c:ser>
        <c:ser>
          <c:idx val="14"/>
          <c:order val="14"/>
          <c:tx>
            <c:strRef>
              <c:f>'2023 Yield'!$X$2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Yield'!$X$3:$X$74</c:f>
              <c:numCache/>
            </c:numRef>
          </c:val>
        </c:ser>
        <c:ser>
          <c:idx val="15"/>
          <c:order val="15"/>
          <c:tx>
            <c:strRef>
              <c:f>'2023 Yield'!$Y$2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Yield'!$Y$3:$Y$74</c:f>
              <c:numCache/>
            </c:numRef>
          </c:val>
        </c:ser>
        <c:ser>
          <c:idx val="16"/>
          <c:order val="16"/>
          <c:tx>
            <c:v>Red Potato</c:v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Yield'!$Z$3:$Z$74</c:f>
              <c:numCache/>
            </c:numRef>
          </c:val>
        </c:ser>
        <c:ser>
          <c:idx val="17"/>
          <c:order val="17"/>
          <c:tx>
            <c:strRef>
              <c:f>'2023 Yield'!$AA$2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Yield'!$AA$3:$AA$74</c:f>
              <c:numCache/>
            </c:numRef>
          </c:val>
        </c:ser>
        <c:ser>
          <c:idx val="18"/>
          <c:order val="18"/>
          <c:tx>
            <c:strRef>
              <c:f>'2023 Yield'!$AC$2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Yield'!$AC$3:$AC$74</c:f>
              <c:numCache/>
            </c:numRef>
          </c:val>
        </c:ser>
        <c:ser>
          <c:idx val="19"/>
          <c:order val="19"/>
          <c:tx>
            <c:strRef>
              <c:f>'2023 Yield'!$AD$2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'2023 Yield'!$A$3:$A$74</c:f>
            </c:strRef>
          </c:cat>
          <c:val>
            <c:numRef>
              <c:f>'2023 Yield'!$AD$3:$AD$74</c:f>
              <c:numCache/>
            </c:numRef>
          </c:val>
        </c:ser>
        <c:overlap val="100"/>
        <c:axId val="1650441167"/>
        <c:axId val="561362765"/>
      </c:barChart>
      <c:catAx>
        <c:axId val="1650441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362765"/>
      </c:catAx>
      <c:valAx>
        <c:axId val="561362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441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Yield'!$B$4:$B$75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Yield'!$C$4:$C$75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Yield'!$D$4:$D$75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Yield'!$E$4:$E$75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Yield'!$F$4:$F$75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Yield'!$G$4:$G$75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Yield'!$H$4:$H$75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Yield'!$I$4:$I$75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Yield'!$J$4:$J$75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Yield'!$K$4:$K$75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Yield'!$L$4:$L$75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Yield'!$M$4:$M$75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Yield'!$N$4:$N$75</c:f>
              <c:numCache/>
            </c:numRef>
          </c:val>
        </c:ser>
        <c:ser>
          <c:idx val="13"/>
          <c:order val="13"/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Yield'!$T$4:$T$75</c:f>
              <c:numCache/>
            </c:numRef>
          </c:val>
        </c:ser>
        <c:ser>
          <c:idx val="14"/>
          <c:order val="14"/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Yield'!$O$4:$O$75</c:f>
              <c:numCache/>
            </c:numRef>
          </c:val>
        </c:ser>
        <c:ser>
          <c:idx val="15"/>
          <c:order val="15"/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Yield'!$P$4:$P$75</c:f>
              <c:numCache/>
            </c:numRef>
          </c:val>
        </c:ser>
        <c:ser>
          <c:idx val="16"/>
          <c:order val="16"/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Yield'!$Q$4:$Q$75</c:f>
              <c:numCache/>
            </c:numRef>
          </c:val>
        </c:ser>
        <c:ser>
          <c:idx val="17"/>
          <c:order val="17"/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Yield'!$R$4:$R$75</c:f>
              <c:numCache/>
            </c:numRef>
          </c:val>
        </c:ser>
        <c:ser>
          <c:idx val="18"/>
          <c:order val="18"/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Yield'!$S$4:$S$75</c:f>
              <c:numCache/>
            </c:numRef>
          </c:val>
        </c:ser>
        <c:ser>
          <c:idx val="19"/>
          <c:order val="19"/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Yield'!$T$4:$T$75</c:f>
              <c:numCache/>
            </c:numRef>
          </c:val>
        </c:ser>
        <c:ser>
          <c:idx val="20"/>
          <c:order val="20"/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Yield'!$U$4:$U$75</c:f>
              <c:numCache/>
            </c:numRef>
          </c:val>
        </c:ser>
        <c:ser>
          <c:idx val="21"/>
          <c:order val="21"/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Yield'!$V$4:$V$75</c:f>
              <c:numCache/>
            </c:numRef>
          </c:val>
        </c:ser>
        <c:ser>
          <c:idx val="22"/>
          <c:order val="22"/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'2025 Yield'!$A$4:$A$75</c:f>
            </c:strRef>
          </c:cat>
          <c:val>
            <c:numRef>
              <c:f>'2025 Yield'!$W$4:$W$75</c:f>
              <c:numCache/>
            </c:numRef>
          </c:val>
        </c:ser>
        <c:overlap val="100"/>
        <c:axId val="1413100185"/>
        <c:axId val="2055927302"/>
      </c:barChart>
      <c:catAx>
        <c:axId val="1413100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927302"/>
      </c:catAx>
      <c:valAx>
        <c:axId val="2055927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100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80</xdr:row>
      <xdr:rowOff>152400</xdr:rowOff>
    </xdr:from>
    <xdr:ext cx="9172575" cy="5676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190500</xdr:colOff>
      <xdr:row>4</xdr:row>
      <xdr:rowOff>104775</xdr:rowOff>
    </xdr:from>
    <xdr:ext cx="10315575" cy="6362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933450</xdr:colOff>
      <xdr:row>13</xdr:row>
      <xdr:rowOff>76200</xdr:rowOff>
    </xdr:from>
    <xdr:ext cx="7572375" cy="4686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E1000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2024 Yiel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:AE1002" displayName="Table_2" name="Table_2" id="2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2025 Yie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63"/>
    <col customWidth="1" min="2" max="2" width="8.0"/>
    <col customWidth="1" min="3" max="3" width="5.38"/>
    <col customWidth="1" min="4" max="4" width="5.13"/>
    <col customWidth="1" min="5" max="5" width="5.38"/>
    <col customWidth="1" min="6" max="7" width="6.5"/>
    <col customWidth="1" min="8" max="8" width="5.38"/>
    <col customWidth="1" min="9" max="9" width="5.63"/>
    <col customWidth="1" min="10" max="10" width="6.25"/>
    <col customWidth="1" min="11" max="11" width="5.25"/>
    <col customWidth="1" min="12" max="12" width="4.88"/>
    <col customWidth="1" min="13" max="13" width="5.0"/>
    <col customWidth="1" min="14" max="14" width="5.5"/>
    <col customWidth="1" min="15" max="15" width="5.0"/>
    <col customWidth="1" min="16" max="16" width="5.63"/>
    <col customWidth="1" min="17" max="17" width="5.75"/>
    <col customWidth="1" min="18" max="18" width="5.88"/>
    <col customWidth="1" min="19" max="19" width="6.0"/>
    <col customWidth="1" min="20" max="21" width="5.88"/>
    <col customWidth="1" min="22" max="23" width="5.25"/>
    <col customWidth="1" min="24" max="24" width="5.88"/>
    <col customWidth="1" min="25" max="25" width="5.38"/>
    <col customWidth="1" min="26" max="27" width="4.88"/>
    <col customWidth="1" min="28" max="28" width="6.63"/>
    <col customWidth="1" min="29" max="30" width="6.5"/>
    <col customWidth="1" min="31" max="32" width="9.75"/>
    <col customWidth="1" min="33" max="33" width="6.38"/>
  </cols>
  <sheetData>
    <row r="1">
      <c r="A1" s="1"/>
      <c r="B1" s="1"/>
      <c r="C1" s="1"/>
      <c r="D1" s="1"/>
      <c r="E1" s="2"/>
      <c r="F1" s="1"/>
      <c r="G1" s="1"/>
      <c r="H1" s="1"/>
      <c r="I1" s="1"/>
      <c r="J1" s="2"/>
      <c r="K1" s="3"/>
      <c r="L1" s="3"/>
      <c r="M1" s="2"/>
      <c r="N1" s="2" t="s">
        <v>0</v>
      </c>
      <c r="T1" s="4"/>
      <c r="U1" s="4"/>
      <c r="V1" s="2"/>
      <c r="W1" s="2"/>
      <c r="X1" s="2"/>
      <c r="Y1" s="2" t="s">
        <v>1</v>
      </c>
      <c r="AA1" s="2"/>
      <c r="AB1" s="2"/>
      <c r="AC1" s="2"/>
      <c r="AD1" s="2"/>
      <c r="AE1" s="2"/>
      <c r="AF1" s="5" t="s">
        <v>2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ht="75.75" customHeight="1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7" t="s">
        <v>30</v>
      </c>
      <c r="AC2" s="7" t="s">
        <v>31</v>
      </c>
      <c r="AD2" s="7" t="s">
        <v>32</v>
      </c>
      <c r="AE2" s="7" t="s">
        <v>33</v>
      </c>
      <c r="AF2" s="8" t="s">
        <v>34</v>
      </c>
      <c r="AG2" s="9" t="s">
        <v>35</v>
      </c>
      <c r="AH2" s="8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>
      <c r="A3" s="11" t="s">
        <v>36</v>
      </c>
      <c r="B3" s="12"/>
      <c r="C3" s="11">
        <v>60.0</v>
      </c>
      <c r="D3" s="11">
        <v>12.0</v>
      </c>
      <c r="E3" s="12"/>
      <c r="F3" s="11"/>
      <c r="G3" s="11">
        <v>6.0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3">
        <f t="shared" ref="AF3:AF73" si="1">SUM(B3:AD3)</f>
        <v>78</v>
      </c>
      <c r="AG3" s="14">
        <f t="shared" ref="AG3:AG73" si="2">AF3/$AI$7</f>
        <v>0.171957672</v>
      </c>
    </row>
    <row r="4">
      <c r="A4" s="15">
        <v>45093.0</v>
      </c>
      <c r="B4" s="16">
        <v>79.0</v>
      </c>
      <c r="C4" s="16">
        <v>20.0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3">
        <f t="shared" si="1"/>
        <v>99</v>
      </c>
      <c r="AG4" s="14">
        <f t="shared" si="2"/>
        <v>0.2182539683</v>
      </c>
    </row>
    <row r="5">
      <c r="A5" s="18">
        <v>45094.0</v>
      </c>
      <c r="B5" s="11">
        <v>31.0</v>
      </c>
      <c r="C5" s="11">
        <v>49.0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>
        <f t="shared" si="1"/>
        <v>80</v>
      </c>
      <c r="AG5" s="14">
        <f t="shared" si="2"/>
        <v>0.176366843</v>
      </c>
    </row>
    <row r="6">
      <c r="A6" s="15">
        <v>45095.0</v>
      </c>
      <c r="B6" s="16">
        <v>73.0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3">
        <f t="shared" si="1"/>
        <v>73</v>
      </c>
      <c r="AG6" s="14">
        <f t="shared" si="2"/>
        <v>0.1609347443</v>
      </c>
    </row>
    <row r="7">
      <c r="A7" s="18">
        <v>45097.0</v>
      </c>
      <c r="B7" s="11">
        <v>90.0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3">
        <f t="shared" si="1"/>
        <v>90</v>
      </c>
      <c r="AG7" s="14">
        <f t="shared" si="2"/>
        <v>0.1984126984</v>
      </c>
      <c r="AI7" s="19">
        <v>453.6</v>
      </c>
    </row>
    <row r="8">
      <c r="A8" s="15">
        <v>45098.0</v>
      </c>
      <c r="B8" s="16">
        <v>64.0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3">
        <f t="shared" si="1"/>
        <v>64</v>
      </c>
      <c r="AG8" s="14">
        <f t="shared" si="2"/>
        <v>0.1410934744</v>
      </c>
    </row>
    <row r="9">
      <c r="A9" s="18">
        <v>45101.0</v>
      </c>
      <c r="B9" s="11">
        <v>145.0</v>
      </c>
      <c r="C9" s="11">
        <v>7.0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3">
        <f t="shared" si="1"/>
        <v>152</v>
      </c>
      <c r="AG9" s="14">
        <f t="shared" si="2"/>
        <v>0.3350970018</v>
      </c>
    </row>
    <row r="10">
      <c r="A10" s="15">
        <v>45102.0</v>
      </c>
      <c r="B10" s="16">
        <f>139+43</f>
        <v>182</v>
      </c>
      <c r="C10" s="17"/>
      <c r="D10" s="17"/>
      <c r="E10" s="17"/>
      <c r="F10" s="17"/>
      <c r="G10" s="17"/>
      <c r="H10" s="16">
        <v>41.0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3">
        <f t="shared" si="1"/>
        <v>223</v>
      </c>
      <c r="AG10" s="14">
        <f t="shared" si="2"/>
        <v>0.491622575</v>
      </c>
    </row>
    <row r="11">
      <c r="A11" s="18">
        <v>45103.0</v>
      </c>
      <c r="B11" s="11">
        <v>140.0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3">
        <f t="shared" si="1"/>
        <v>140</v>
      </c>
      <c r="AG11" s="14">
        <f t="shared" si="2"/>
        <v>0.3086419753</v>
      </c>
    </row>
    <row r="12">
      <c r="A12" s="15">
        <v>45105.0</v>
      </c>
      <c r="B12" s="16">
        <v>110.0</v>
      </c>
      <c r="C12" s="16">
        <v>4.0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3">
        <f t="shared" si="1"/>
        <v>114</v>
      </c>
      <c r="AG12" s="14">
        <f t="shared" si="2"/>
        <v>0.2513227513</v>
      </c>
    </row>
    <row r="13">
      <c r="A13" s="18">
        <v>45106.0</v>
      </c>
      <c r="B13" s="11">
        <v>93.0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>
        <f t="shared" si="1"/>
        <v>93</v>
      </c>
      <c r="AG13" s="14">
        <f t="shared" si="2"/>
        <v>0.205026455</v>
      </c>
    </row>
    <row r="14">
      <c r="A14" s="15">
        <v>45108.0</v>
      </c>
      <c r="B14" s="16">
        <v>93.0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3">
        <f t="shared" si="1"/>
        <v>93</v>
      </c>
      <c r="AG14" s="14">
        <f t="shared" si="2"/>
        <v>0.205026455</v>
      </c>
    </row>
    <row r="15">
      <c r="A15" s="18">
        <v>45109.0</v>
      </c>
      <c r="B15" s="11">
        <v>86.0</v>
      </c>
      <c r="C15" s="12"/>
      <c r="D15" s="12"/>
      <c r="E15" s="12"/>
      <c r="F15" s="12"/>
      <c r="G15" s="12"/>
      <c r="H15" s="12"/>
      <c r="I15" s="11">
        <v>1.0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>
        <f t="shared" si="1"/>
        <v>87</v>
      </c>
      <c r="AG15" s="14">
        <f t="shared" si="2"/>
        <v>0.1917989418</v>
      </c>
    </row>
    <row r="16">
      <c r="A16" s="15">
        <v>45111.0</v>
      </c>
      <c r="B16" s="16">
        <v>62.0</v>
      </c>
      <c r="C16" s="17"/>
      <c r="D16" s="16">
        <v>6.0</v>
      </c>
      <c r="E16" s="17"/>
      <c r="F16" s="17"/>
      <c r="G16" s="17"/>
      <c r="H16" s="17"/>
      <c r="I16" s="16">
        <v>1.0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3">
        <f t="shared" si="1"/>
        <v>69</v>
      </c>
      <c r="AG16" s="14">
        <f t="shared" si="2"/>
        <v>0.1521164021</v>
      </c>
    </row>
    <row r="17">
      <c r="A17" s="18">
        <v>45113.0</v>
      </c>
      <c r="B17" s="11">
        <v>22.0</v>
      </c>
      <c r="C17" s="11">
        <v>25.0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>
        <f t="shared" si="1"/>
        <v>47</v>
      </c>
      <c r="AG17" s="14">
        <f t="shared" si="2"/>
        <v>0.1036155203</v>
      </c>
    </row>
    <row r="18">
      <c r="A18" s="15">
        <v>45114.0</v>
      </c>
      <c r="B18" s="16">
        <v>10.0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3">
        <f t="shared" si="1"/>
        <v>10</v>
      </c>
      <c r="AG18" s="14">
        <f t="shared" si="2"/>
        <v>0.02204585538</v>
      </c>
    </row>
    <row r="19">
      <c r="A19" s="18">
        <v>45116.0</v>
      </c>
      <c r="B19" s="11">
        <v>5.0</v>
      </c>
      <c r="C19" s="11">
        <v>16.0</v>
      </c>
      <c r="D19" s="12"/>
      <c r="E19" s="11"/>
      <c r="F19" s="12"/>
      <c r="G19" s="12"/>
      <c r="H19" s="11">
        <v>13.0</v>
      </c>
      <c r="I19" s="12"/>
      <c r="J19" s="11"/>
      <c r="K19" s="12"/>
      <c r="L19" s="12"/>
      <c r="M19" s="11"/>
      <c r="N19" s="11">
        <v>14.0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>
        <f t="shared" si="1"/>
        <v>48</v>
      </c>
      <c r="AG19" s="14">
        <f t="shared" si="2"/>
        <v>0.1058201058</v>
      </c>
    </row>
    <row r="20">
      <c r="A20" s="15">
        <v>45118.0</v>
      </c>
      <c r="B20" s="17"/>
      <c r="C20" s="17"/>
      <c r="D20" s="17"/>
      <c r="E20" s="16"/>
      <c r="F20" s="17"/>
      <c r="G20" s="17"/>
      <c r="H20" s="17"/>
      <c r="I20" s="17"/>
      <c r="J20" s="16"/>
      <c r="K20" s="17"/>
      <c r="L20" s="17"/>
      <c r="M20" s="16"/>
      <c r="N20" s="16">
        <v>33.0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3">
        <f t="shared" si="1"/>
        <v>33</v>
      </c>
      <c r="AG20" s="14">
        <f t="shared" si="2"/>
        <v>0.07275132275</v>
      </c>
    </row>
    <row r="21">
      <c r="A21" s="18">
        <v>45121.0</v>
      </c>
      <c r="B21" s="12"/>
      <c r="C21" s="11">
        <v>28.0</v>
      </c>
      <c r="D21" s="11">
        <v>18.0</v>
      </c>
      <c r="E21" s="11">
        <v>58.0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3">
        <f t="shared" si="1"/>
        <v>104</v>
      </c>
      <c r="AG21" s="14">
        <f t="shared" si="2"/>
        <v>0.2292768959</v>
      </c>
    </row>
    <row r="22">
      <c r="A22" s="15">
        <v>45122.0</v>
      </c>
      <c r="B22" s="16">
        <v>22.0</v>
      </c>
      <c r="C22" s="16">
        <v>68.0</v>
      </c>
      <c r="D22" s="17"/>
      <c r="E22" s="16">
        <v>88.0</v>
      </c>
      <c r="F22" s="17"/>
      <c r="G22" s="17"/>
      <c r="H22" s="17"/>
      <c r="I22" s="17"/>
      <c r="J22" s="16">
        <v>285.0</v>
      </c>
      <c r="K22" s="17"/>
      <c r="L22" s="17"/>
      <c r="M22" s="16"/>
      <c r="N22" s="16">
        <v>32.0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3">
        <f t="shared" si="1"/>
        <v>495</v>
      </c>
      <c r="AG22" s="14">
        <f t="shared" si="2"/>
        <v>1.091269841</v>
      </c>
    </row>
    <row r="23">
      <c r="A23" s="18">
        <v>45123.0</v>
      </c>
      <c r="B23" s="12"/>
      <c r="C23" s="12"/>
      <c r="D23" s="12"/>
      <c r="E23" s="11">
        <v>22.0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3">
        <f t="shared" si="1"/>
        <v>22</v>
      </c>
      <c r="AG23" s="14">
        <f t="shared" si="2"/>
        <v>0.04850088183</v>
      </c>
    </row>
    <row r="24">
      <c r="A24" s="15">
        <v>45124.0</v>
      </c>
      <c r="B24" s="17"/>
      <c r="C24" s="17"/>
      <c r="D24" s="17"/>
      <c r="E24" s="16">
        <v>108.0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3">
        <f t="shared" si="1"/>
        <v>108</v>
      </c>
      <c r="AG24" s="14">
        <f t="shared" si="2"/>
        <v>0.2380952381</v>
      </c>
    </row>
    <row r="25">
      <c r="A25" s="18">
        <v>45126.0</v>
      </c>
      <c r="B25" s="12"/>
      <c r="C25" s="11">
        <v>26.0</v>
      </c>
      <c r="D25" s="12"/>
      <c r="E25" s="11">
        <v>330.0</v>
      </c>
      <c r="F25" s="12"/>
      <c r="G25" s="12"/>
      <c r="H25" s="12"/>
      <c r="I25" s="12"/>
      <c r="J25" s="12"/>
      <c r="K25" s="12"/>
      <c r="L25" s="12"/>
      <c r="M25" s="11"/>
      <c r="N25" s="11">
        <v>77.0</v>
      </c>
      <c r="O25" s="11"/>
      <c r="P25" s="11">
        <v>380.0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3">
        <f t="shared" si="1"/>
        <v>813</v>
      </c>
      <c r="AG25" s="14">
        <f t="shared" si="2"/>
        <v>1.792328042</v>
      </c>
    </row>
    <row r="26">
      <c r="A26" s="15">
        <v>45127.0</v>
      </c>
      <c r="B26" s="17"/>
      <c r="C26" s="16">
        <v>22.0</v>
      </c>
      <c r="D26" s="17"/>
      <c r="E26" s="16">
        <v>158.0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">
        <f t="shared" si="1"/>
        <v>180</v>
      </c>
      <c r="AG26" s="14">
        <f t="shared" si="2"/>
        <v>0.3968253968</v>
      </c>
    </row>
    <row r="27">
      <c r="A27" s="18">
        <v>45128.0</v>
      </c>
      <c r="B27" s="12"/>
      <c r="C27" s="12"/>
      <c r="D27" s="12"/>
      <c r="E27" s="12"/>
      <c r="F27" s="12"/>
      <c r="G27" s="12"/>
      <c r="H27" s="12"/>
      <c r="I27" s="12"/>
      <c r="J27" s="12"/>
      <c r="K27" s="11"/>
      <c r="L27" s="11">
        <v>33.0</v>
      </c>
      <c r="M27" s="11"/>
      <c r="N27" s="11">
        <v>25.0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3">
        <f t="shared" si="1"/>
        <v>58</v>
      </c>
      <c r="AG27" s="14">
        <f t="shared" si="2"/>
        <v>0.1278659612</v>
      </c>
    </row>
    <row r="28">
      <c r="A28" s="15">
        <v>45129.0</v>
      </c>
      <c r="B28" s="17"/>
      <c r="C28" s="17"/>
      <c r="D28" s="17"/>
      <c r="E28" s="17">
        <f>164+98</f>
        <v>262</v>
      </c>
      <c r="F28" s="17"/>
      <c r="G28" s="17"/>
      <c r="H28" s="17"/>
      <c r="I28" s="17"/>
      <c r="J28" s="17"/>
      <c r="K28" s="17"/>
      <c r="L28" s="17"/>
      <c r="M28" s="16">
        <v>26.0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3">
        <f t="shared" si="1"/>
        <v>288</v>
      </c>
      <c r="AG28" s="14">
        <f t="shared" si="2"/>
        <v>0.6349206349</v>
      </c>
    </row>
    <row r="29">
      <c r="A29" s="18">
        <v>45130.0</v>
      </c>
      <c r="B29" s="12"/>
      <c r="C29" s="12"/>
      <c r="D29" s="12"/>
      <c r="E29" s="11">
        <v>526.0</v>
      </c>
      <c r="F29" s="12"/>
      <c r="G29" s="12"/>
      <c r="H29" s="12"/>
      <c r="I29" s="12"/>
      <c r="J29" s="12"/>
      <c r="K29" s="12"/>
      <c r="L29" s="12"/>
      <c r="M29" s="12"/>
      <c r="N29" s="11">
        <v>21.0</v>
      </c>
      <c r="O29" s="12"/>
      <c r="P29" s="12"/>
      <c r="Q29" s="11"/>
      <c r="R29" s="11"/>
      <c r="S29" s="11">
        <v>27.0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3">
        <f t="shared" si="1"/>
        <v>574</v>
      </c>
      <c r="AG29" s="14">
        <f t="shared" si="2"/>
        <v>1.265432099</v>
      </c>
    </row>
    <row r="30">
      <c r="A30" s="15">
        <v>45131.0</v>
      </c>
      <c r="B30" s="17"/>
      <c r="C30" s="16">
        <v>25.0</v>
      </c>
      <c r="D30" s="17"/>
      <c r="E30" s="16">
        <v>112.0</v>
      </c>
      <c r="F30" s="17"/>
      <c r="G30" s="17"/>
      <c r="H30" s="17"/>
      <c r="I30" s="17"/>
      <c r="J30" s="17"/>
      <c r="K30" s="17"/>
      <c r="L30" s="17"/>
      <c r="M30" s="17"/>
      <c r="N30" s="16">
        <v>58.0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3">
        <f t="shared" si="1"/>
        <v>195</v>
      </c>
      <c r="AG30" s="14">
        <f t="shared" si="2"/>
        <v>0.4298941799</v>
      </c>
    </row>
    <row r="31">
      <c r="A31" s="18">
        <v>45132.0</v>
      </c>
      <c r="B31" s="12"/>
      <c r="C31" s="11">
        <v>15.0</v>
      </c>
      <c r="D31" s="12"/>
      <c r="E31" s="11">
        <v>194.0</v>
      </c>
      <c r="F31" s="12"/>
      <c r="G31" s="12"/>
      <c r="H31" s="12"/>
      <c r="I31" s="12"/>
      <c r="J31" s="12"/>
      <c r="K31" s="11">
        <v>70.0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3">
        <f t="shared" si="1"/>
        <v>279</v>
      </c>
      <c r="AG31" s="14">
        <f t="shared" si="2"/>
        <v>0.6150793651</v>
      </c>
    </row>
    <row r="32">
      <c r="A32" s="15">
        <v>45133.0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6">
        <v>172.0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3">
        <f t="shared" si="1"/>
        <v>172</v>
      </c>
      <c r="AG32" s="14">
        <f t="shared" si="2"/>
        <v>0.3791887125</v>
      </c>
    </row>
    <row r="33">
      <c r="A33" s="18">
        <v>45134.0</v>
      </c>
      <c r="B33" s="12"/>
      <c r="C33" s="11">
        <v>19.0</v>
      </c>
      <c r="D33" s="12"/>
      <c r="E33" s="11">
        <v>214.0</v>
      </c>
      <c r="F33" s="12"/>
      <c r="G33" s="12"/>
      <c r="H33" s="12"/>
      <c r="I33" s="12"/>
      <c r="J33" s="12"/>
      <c r="K33" s="12"/>
      <c r="L33" s="11">
        <v>174.0</v>
      </c>
      <c r="M33" s="12"/>
      <c r="N33" s="11">
        <v>65.0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3">
        <f t="shared" si="1"/>
        <v>472</v>
      </c>
      <c r="AG33" s="14">
        <f t="shared" si="2"/>
        <v>1.040564374</v>
      </c>
    </row>
    <row r="34">
      <c r="A34" s="15">
        <v>45135.0</v>
      </c>
      <c r="B34" s="17"/>
      <c r="C34" s="16">
        <v>19.0</v>
      </c>
      <c r="D34" s="17"/>
      <c r="E34" s="16">
        <v>382.0</v>
      </c>
      <c r="F34" s="17"/>
      <c r="G34" s="17"/>
      <c r="H34" s="17"/>
      <c r="I34" s="17"/>
      <c r="J34" s="17"/>
      <c r="K34" s="17"/>
      <c r="L34" s="17"/>
      <c r="M34" s="17"/>
      <c r="N34" s="16">
        <v>124.0</v>
      </c>
      <c r="O34" s="16"/>
      <c r="P34" s="16">
        <v>174.0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3">
        <f t="shared" si="1"/>
        <v>699</v>
      </c>
      <c r="AG34" s="14">
        <f t="shared" si="2"/>
        <v>1.541005291</v>
      </c>
    </row>
    <row r="35">
      <c r="A35" s="18">
        <v>45136.0</v>
      </c>
      <c r="B35" s="12"/>
      <c r="C35" s="12"/>
      <c r="D35" s="12"/>
      <c r="E35" s="11">
        <v>129.0</v>
      </c>
      <c r="F35" s="12"/>
      <c r="G35" s="12"/>
      <c r="H35" s="12"/>
      <c r="I35" s="11">
        <v>1.0</v>
      </c>
      <c r="J35" s="12"/>
      <c r="K35" s="12"/>
      <c r="L35" s="12"/>
      <c r="M35" s="12"/>
      <c r="N35" s="11">
        <v>30.0</v>
      </c>
      <c r="O35" s="11">
        <v>25.0</v>
      </c>
      <c r="P35" s="12"/>
      <c r="Q35" s="11"/>
      <c r="R35" s="11">
        <v>127.0</v>
      </c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3">
        <f t="shared" si="1"/>
        <v>312</v>
      </c>
      <c r="AG35" s="14">
        <f t="shared" si="2"/>
        <v>0.6878306878</v>
      </c>
    </row>
    <row r="36">
      <c r="A36" s="15">
        <v>45138.0</v>
      </c>
      <c r="B36" s="17"/>
      <c r="C36" s="16">
        <v>41.0</v>
      </c>
      <c r="D36" s="17"/>
      <c r="E36" s="17">
        <f>230+129</f>
        <v>359</v>
      </c>
      <c r="F36" s="17"/>
      <c r="G36" s="17"/>
      <c r="H36" s="17"/>
      <c r="I36" s="17"/>
      <c r="J36" s="17"/>
      <c r="K36" s="17"/>
      <c r="L36" s="17">
        <f>596+495-203-181+96+511</f>
        <v>1314</v>
      </c>
      <c r="M36" s="17">
        <f>318+128</f>
        <v>446</v>
      </c>
      <c r="N36" s="16">
        <v>87.0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3">
        <f t="shared" si="1"/>
        <v>2247</v>
      </c>
      <c r="AG36" s="14">
        <f t="shared" si="2"/>
        <v>4.953703704</v>
      </c>
    </row>
    <row r="37">
      <c r="A37" s="18">
        <v>45139.0</v>
      </c>
      <c r="B37" s="12"/>
      <c r="C37" s="12"/>
      <c r="D37" s="12"/>
      <c r="E37" s="11">
        <v>15.0</v>
      </c>
      <c r="F37" s="12"/>
      <c r="G37" s="12"/>
      <c r="H37" s="12"/>
      <c r="I37" s="12"/>
      <c r="J37" s="12"/>
      <c r="K37" s="12"/>
      <c r="L37" s="12"/>
      <c r="M37" s="12"/>
      <c r="N37" s="12"/>
      <c r="O37" s="11">
        <v>36.0</v>
      </c>
      <c r="P37" s="12"/>
      <c r="Q37" s="11"/>
      <c r="R37" s="11">
        <v>98.0</v>
      </c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3">
        <f t="shared" si="1"/>
        <v>149</v>
      </c>
      <c r="AG37" s="14">
        <f t="shared" si="2"/>
        <v>0.3284832451</v>
      </c>
    </row>
    <row r="38">
      <c r="A38" s="15">
        <v>45140.0</v>
      </c>
      <c r="B38" s="17"/>
      <c r="C38" s="16">
        <v>18.0</v>
      </c>
      <c r="D38" s="17"/>
      <c r="E38" s="16">
        <v>166.0</v>
      </c>
      <c r="F38" s="17"/>
      <c r="G38" s="17"/>
      <c r="H38" s="17"/>
      <c r="I38" s="17"/>
      <c r="J38" s="17"/>
      <c r="K38" s="17"/>
      <c r="L38" s="17"/>
      <c r="M38" s="17"/>
      <c r="N38" s="16">
        <v>25.0</v>
      </c>
      <c r="O38" s="16">
        <v>34.0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3">
        <f t="shared" si="1"/>
        <v>243</v>
      </c>
      <c r="AG38" s="14">
        <f t="shared" si="2"/>
        <v>0.5357142857</v>
      </c>
    </row>
    <row r="39">
      <c r="A39" s="18">
        <v>45143.0</v>
      </c>
      <c r="B39" s="12"/>
      <c r="C39" s="11">
        <v>24.0</v>
      </c>
      <c r="D39" s="12"/>
      <c r="E39" s="12">
        <f>751+476</f>
        <v>1227</v>
      </c>
      <c r="F39" s="12"/>
      <c r="G39" s="12"/>
      <c r="H39" s="12"/>
      <c r="I39" s="12"/>
      <c r="J39" s="12"/>
      <c r="K39" s="12"/>
      <c r="L39" s="12"/>
      <c r="M39" s="12"/>
      <c r="N39" s="11">
        <v>27.0</v>
      </c>
      <c r="O39" s="11">
        <v>85.0</v>
      </c>
      <c r="P39" s="12"/>
      <c r="Q39" s="12"/>
      <c r="R39" s="12">
        <f>25+66</f>
        <v>91</v>
      </c>
      <c r="S39" s="12">
        <f>115+66</f>
        <v>181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3">
        <f t="shared" si="1"/>
        <v>1635</v>
      </c>
      <c r="AG39" s="14">
        <f t="shared" si="2"/>
        <v>3.604497354</v>
      </c>
    </row>
    <row r="40">
      <c r="A40" s="15">
        <v>45144.0</v>
      </c>
      <c r="B40" s="17"/>
      <c r="C40" s="16">
        <v>52.0</v>
      </c>
      <c r="D40" s="17"/>
      <c r="E40" s="16">
        <v>102.0</v>
      </c>
      <c r="F40" s="17"/>
      <c r="G40" s="17"/>
      <c r="H40" s="17"/>
      <c r="I40" s="17"/>
      <c r="J40" s="16">
        <v>327.0</v>
      </c>
      <c r="K40" s="17"/>
      <c r="L40" s="17"/>
      <c r="M40" s="17"/>
      <c r="N40" s="17"/>
      <c r="O40" s="16">
        <v>37.0</v>
      </c>
      <c r="P40" s="17"/>
      <c r="Q40" s="17"/>
      <c r="R40" s="17"/>
      <c r="S40" s="16">
        <v>30.0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3">
        <f t="shared" si="1"/>
        <v>548</v>
      </c>
      <c r="AG40" s="14">
        <f t="shared" si="2"/>
        <v>1.208112875</v>
      </c>
    </row>
    <row r="41">
      <c r="A41" s="18">
        <v>45145.0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1">
        <v>18.0</v>
      </c>
      <c r="O41" s="11">
        <v>31.0</v>
      </c>
      <c r="P41" s="12"/>
      <c r="Q41" s="11"/>
      <c r="R41" s="11">
        <v>97.0</v>
      </c>
      <c r="S41" s="11">
        <v>30.0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3">
        <f t="shared" si="1"/>
        <v>176</v>
      </c>
      <c r="AG41" s="14">
        <f t="shared" si="2"/>
        <v>0.3880070547</v>
      </c>
    </row>
    <row r="42">
      <c r="A42" s="15">
        <v>45146.0</v>
      </c>
      <c r="B42" s="17"/>
      <c r="C42" s="17"/>
      <c r="D42" s="17"/>
      <c r="E42" s="16">
        <v>286.0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3">
        <f t="shared" si="1"/>
        <v>286</v>
      </c>
      <c r="AG42" s="14">
        <f t="shared" si="2"/>
        <v>0.6305114638</v>
      </c>
    </row>
    <row r="43">
      <c r="A43" s="18">
        <v>45148.0</v>
      </c>
      <c r="B43" s="12"/>
      <c r="C43" s="11">
        <v>12.0</v>
      </c>
      <c r="D43" s="12"/>
      <c r="E43" s="11">
        <v>363.0</v>
      </c>
      <c r="F43" s="12"/>
      <c r="G43" s="12"/>
      <c r="H43" s="12"/>
      <c r="I43" s="12"/>
      <c r="J43" s="12"/>
      <c r="K43" s="12"/>
      <c r="L43" s="12"/>
      <c r="M43" s="12"/>
      <c r="N43" s="11">
        <v>204.0</v>
      </c>
      <c r="O43" s="11">
        <v>109.0</v>
      </c>
      <c r="P43" s="11">
        <v>276.0</v>
      </c>
      <c r="Q43" s="11">
        <v>276.0</v>
      </c>
      <c r="R43" s="12"/>
      <c r="S43" s="11">
        <v>653.0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3">
        <f t="shared" si="1"/>
        <v>1893</v>
      </c>
      <c r="AG43" s="14">
        <f t="shared" si="2"/>
        <v>4.173280423</v>
      </c>
    </row>
    <row r="44">
      <c r="A44" s="15">
        <v>45149.0</v>
      </c>
      <c r="B44" s="17"/>
      <c r="C44" s="16">
        <v>39.0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3">
        <f t="shared" si="1"/>
        <v>39</v>
      </c>
      <c r="AG44" s="14">
        <f t="shared" si="2"/>
        <v>0.08597883598</v>
      </c>
    </row>
    <row r="45">
      <c r="A45" s="18">
        <v>45150.0</v>
      </c>
      <c r="B45" s="12"/>
      <c r="C45" s="11">
        <v>12.0</v>
      </c>
      <c r="D45" s="12"/>
      <c r="E45" s="11">
        <v>184.0</v>
      </c>
      <c r="F45" s="12"/>
      <c r="G45" s="12"/>
      <c r="H45" s="12"/>
      <c r="I45" s="12"/>
      <c r="J45" s="12"/>
      <c r="K45" s="12"/>
      <c r="L45" s="12"/>
      <c r="M45" s="12"/>
      <c r="N45" s="11">
        <v>3.0</v>
      </c>
      <c r="O45" s="11">
        <v>33.0</v>
      </c>
      <c r="P45" s="11">
        <v>447.0</v>
      </c>
      <c r="Q45" s="12"/>
      <c r="R45" s="12"/>
      <c r="S45" s="11">
        <v>21.0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3">
        <f t="shared" si="1"/>
        <v>700</v>
      </c>
      <c r="AG45" s="14">
        <f t="shared" si="2"/>
        <v>1.543209877</v>
      </c>
    </row>
    <row r="46">
      <c r="A46" s="15">
        <v>45151.0</v>
      </c>
      <c r="B46" s="17"/>
      <c r="C46" s="17"/>
      <c r="D46" s="17"/>
      <c r="E46" s="16">
        <v>102.0</v>
      </c>
      <c r="F46" s="17"/>
      <c r="G46" s="17"/>
      <c r="H46" s="17"/>
      <c r="I46" s="17"/>
      <c r="J46" s="16">
        <v>353.0</v>
      </c>
      <c r="K46" s="17"/>
      <c r="L46" s="17"/>
      <c r="M46" s="17"/>
      <c r="N46" s="16">
        <v>20.0</v>
      </c>
      <c r="O46" s="16">
        <v>20.0</v>
      </c>
      <c r="P46" s="16">
        <v>433.0</v>
      </c>
      <c r="Q46" s="17"/>
      <c r="R46" s="17"/>
      <c r="S46" s="16">
        <v>152.0</v>
      </c>
      <c r="T46" s="16">
        <f>333+1408</f>
        <v>1741</v>
      </c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3">
        <f t="shared" si="1"/>
        <v>2821</v>
      </c>
      <c r="AG46" s="14">
        <f t="shared" si="2"/>
        <v>6.219135802</v>
      </c>
    </row>
    <row r="47">
      <c r="A47" s="18">
        <v>45154.0</v>
      </c>
      <c r="B47" s="12"/>
      <c r="C47" s="12"/>
      <c r="D47" s="12"/>
      <c r="E47" s="11">
        <v>345.0</v>
      </c>
      <c r="F47" s="12"/>
      <c r="G47" s="12"/>
      <c r="H47" s="12"/>
      <c r="I47" s="12"/>
      <c r="J47" s="12"/>
      <c r="K47" s="12"/>
      <c r="L47" s="12"/>
      <c r="M47" s="12"/>
      <c r="N47" s="11">
        <v>25.0</v>
      </c>
      <c r="O47" s="11">
        <v>44.0</v>
      </c>
      <c r="P47" s="11">
        <v>159.0</v>
      </c>
      <c r="Q47" s="12"/>
      <c r="R47" s="11">
        <v>174.0</v>
      </c>
      <c r="S47" s="11">
        <v>42.0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3">
        <f t="shared" si="1"/>
        <v>789</v>
      </c>
      <c r="AG47" s="14">
        <f t="shared" si="2"/>
        <v>1.739417989</v>
      </c>
    </row>
    <row r="48">
      <c r="A48" s="15">
        <v>45156.0</v>
      </c>
      <c r="B48" s="17"/>
      <c r="C48" s="16">
        <v>31.0</v>
      </c>
      <c r="D48" s="17"/>
      <c r="E48" s="16">
        <v>188.0</v>
      </c>
      <c r="F48" s="17"/>
      <c r="G48" s="17"/>
      <c r="H48" s="17"/>
      <c r="I48" s="17"/>
      <c r="J48" s="17"/>
      <c r="K48" s="17"/>
      <c r="L48" s="17"/>
      <c r="M48" s="17"/>
      <c r="N48" s="17">
        <f>41+29</f>
        <v>70</v>
      </c>
      <c r="O48" s="17">
        <f>39+63</f>
        <v>102</v>
      </c>
      <c r="P48" s="16">
        <v>91.0</v>
      </c>
      <c r="Q48" s="17"/>
      <c r="R48" s="17"/>
      <c r="S48" s="17">
        <f>68+177</f>
        <v>245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3">
        <f t="shared" si="1"/>
        <v>727</v>
      </c>
      <c r="AG48" s="14">
        <f t="shared" si="2"/>
        <v>1.602733686</v>
      </c>
    </row>
    <row r="49">
      <c r="A49" s="18">
        <v>45157.0</v>
      </c>
      <c r="B49" s="12"/>
      <c r="C49" s="11">
        <v>23.0</v>
      </c>
      <c r="D49" s="12"/>
      <c r="E49" s="11">
        <v>107.0</v>
      </c>
      <c r="F49" s="12"/>
      <c r="G49" s="12"/>
      <c r="H49" s="12"/>
      <c r="I49" s="12"/>
      <c r="J49" s="12"/>
      <c r="K49" s="12"/>
      <c r="L49" s="12"/>
      <c r="M49" s="12"/>
      <c r="N49" s="12"/>
      <c r="O49" s="11">
        <v>36.0</v>
      </c>
      <c r="P49" s="12"/>
      <c r="Q49" s="12"/>
      <c r="R49" s="12"/>
      <c r="S49" s="11">
        <v>36.0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3">
        <f t="shared" si="1"/>
        <v>202</v>
      </c>
      <c r="AG49" s="14">
        <f t="shared" si="2"/>
        <v>0.4453262787</v>
      </c>
    </row>
    <row r="50">
      <c r="A50" s="15">
        <v>45159.0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6">
        <v>33.0</v>
      </c>
      <c r="O50" s="16">
        <v>39.0</v>
      </c>
      <c r="P50" s="16">
        <v>115.0</v>
      </c>
      <c r="Q50" s="17"/>
      <c r="R50" s="17"/>
      <c r="S50" s="17"/>
      <c r="T50" s="17"/>
      <c r="U50" s="16">
        <v>186.0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3">
        <f t="shared" si="1"/>
        <v>373</v>
      </c>
      <c r="AG50" s="14">
        <f t="shared" si="2"/>
        <v>0.8223104056</v>
      </c>
    </row>
    <row r="51">
      <c r="A51" s="18">
        <v>45160.0</v>
      </c>
      <c r="B51" s="12"/>
      <c r="C51" s="11">
        <v>70.0</v>
      </c>
      <c r="D51" s="12"/>
      <c r="E51" s="11">
        <v>73.0</v>
      </c>
      <c r="F51" s="12"/>
      <c r="G51" s="12"/>
      <c r="H51" s="12"/>
      <c r="I51" s="12"/>
      <c r="J51" s="12"/>
      <c r="K51" s="12"/>
      <c r="L51" s="12"/>
      <c r="M51" s="12"/>
      <c r="N51" s="11">
        <v>38.0</v>
      </c>
      <c r="O51" s="11">
        <v>40.0</v>
      </c>
      <c r="P51" s="11">
        <v>58.0</v>
      </c>
      <c r="Q51" s="12"/>
      <c r="R51" s="11">
        <v>303.0</v>
      </c>
      <c r="S51" s="11">
        <v>217.0</v>
      </c>
      <c r="T51" s="12"/>
      <c r="U51" s="11">
        <v>461.0</v>
      </c>
      <c r="V51" s="11"/>
      <c r="W51" s="11">
        <v>20.0</v>
      </c>
      <c r="X51" s="11">
        <v>1241.0</v>
      </c>
      <c r="Y51" s="12"/>
      <c r="Z51" s="12"/>
      <c r="AA51" s="12"/>
      <c r="AB51" s="12"/>
      <c r="AC51" s="12"/>
      <c r="AD51" s="12"/>
      <c r="AE51" s="12"/>
      <c r="AF51" s="13">
        <f t="shared" si="1"/>
        <v>2521</v>
      </c>
      <c r="AG51" s="14">
        <f t="shared" si="2"/>
        <v>5.557760141</v>
      </c>
    </row>
    <row r="52">
      <c r="A52" s="15">
        <v>45163.0</v>
      </c>
      <c r="B52" s="17"/>
      <c r="C52" s="16">
        <v>10.0</v>
      </c>
      <c r="D52" s="17"/>
      <c r="E52" s="16">
        <v>466.0</v>
      </c>
      <c r="F52" s="17"/>
      <c r="G52" s="17"/>
      <c r="H52" s="17"/>
      <c r="I52" s="17"/>
      <c r="J52" s="17"/>
      <c r="K52" s="17"/>
      <c r="L52" s="17"/>
      <c r="M52" s="17"/>
      <c r="N52" s="16">
        <v>59.0</v>
      </c>
      <c r="O52" s="17"/>
      <c r="P52" s="17"/>
      <c r="Q52" s="16">
        <v>939.0</v>
      </c>
      <c r="R52" s="17"/>
      <c r="S52" s="16">
        <v>85.0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3">
        <f t="shared" si="1"/>
        <v>1559</v>
      </c>
      <c r="AG52" s="14">
        <f t="shared" si="2"/>
        <v>3.436948854</v>
      </c>
    </row>
    <row r="53">
      <c r="A53" s="18">
        <v>45164.0</v>
      </c>
      <c r="B53" s="12"/>
      <c r="C53" s="11">
        <v>7.0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1">
        <v>22.0</v>
      </c>
      <c r="P53" s="11">
        <v>796.0</v>
      </c>
      <c r="Q53" s="12"/>
      <c r="R53" s="12"/>
      <c r="S53" s="11">
        <v>174.0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3">
        <f t="shared" si="1"/>
        <v>999</v>
      </c>
      <c r="AG53" s="14">
        <f t="shared" si="2"/>
        <v>2.202380952</v>
      </c>
    </row>
    <row r="54">
      <c r="A54" s="15">
        <v>45165.0</v>
      </c>
      <c r="B54" s="17"/>
      <c r="C54" s="16">
        <v>9.0</v>
      </c>
      <c r="D54" s="17"/>
      <c r="E54" s="16">
        <v>465.0</v>
      </c>
      <c r="F54" s="17"/>
      <c r="G54" s="17"/>
      <c r="H54" s="17"/>
      <c r="I54" s="17"/>
      <c r="J54" s="17"/>
      <c r="K54" s="17"/>
      <c r="L54" s="17"/>
      <c r="M54" s="17"/>
      <c r="N54" s="16">
        <v>22.0</v>
      </c>
      <c r="O54" s="17"/>
      <c r="P54" s="16">
        <v>317.0</v>
      </c>
      <c r="Q54" s="17"/>
      <c r="R54" s="16">
        <v>62.0</v>
      </c>
      <c r="S54" s="16">
        <v>331.0</v>
      </c>
      <c r="T54" s="17"/>
      <c r="U54" s="17"/>
      <c r="V54" s="17"/>
      <c r="W54" s="17"/>
      <c r="X54" s="17"/>
      <c r="Y54" s="16">
        <v>410.0</v>
      </c>
      <c r="Z54" s="16"/>
      <c r="AA54" s="16">
        <v>927.0</v>
      </c>
      <c r="AB54" s="17"/>
      <c r="AC54" s="17"/>
      <c r="AD54" s="17"/>
      <c r="AE54" s="17"/>
      <c r="AF54" s="13">
        <f t="shared" si="1"/>
        <v>2543</v>
      </c>
      <c r="AG54" s="14">
        <f t="shared" si="2"/>
        <v>5.606261023</v>
      </c>
    </row>
    <row r="55">
      <c r="A55" s="18">
        <v>45168.0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1">
        <v>295.0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3">
        <f t="shared" si="1"/>
        <v>295</v>
      </c>
      <c r="AG55" s="14">
        <f t="shared" si="2"/>
        <v>0.6503527337</v>
      </c>
    </row>
    <row r="56">
      <c r="A56" s="15">
        <v>45171.0</v>
      </c>
      <c r="B56" s="17"/>
      <c r="C56" s="16">
        <v>13.0</v>
      </c>
      <c r="D56" s="17"/>
      <c r="E56" s="16">
        <v>51.0</v>
      </c>
      <c r="F56" s="17"/>
      <c r="G56" s="17"/>
      <c r="H56" s="17"/>
      <c r="I56" s="17"/>
      <c r="J56" s="17"/>
      <c r="K56" s="17"/>
      <c r="L56" s="17"/>
      <c r="M56" s="17"/>
      <c r="N56" s="16">
        <v>41.0</v>
      </c>
      <c r="O56" s="16">
        <v>10.0</v>
      </c>
      <c r="P56" s="17"/>
      <c r="Q56" s="17"/>
      <c r="R56" s="16">
        <v>83.0</v>
      </c>
      <c r="S56" s="16">
        <v>131.0</v>
      </c>
      <c r="T56" s="17"/>
      <c r="U56" s="17"/>
      <c r="V56" s="17"/>
      <c r="W56" s="17"/>
      <c r="X56" s="17"/>
      <c r="Y56" s="17"/>
      <c r="Z56" s="17"/>
      <c r="AA56" s="17"/>
      <c r="AB56" s="16">
        <f>18+41</f>
        <v>59</v>
      </c>
      <c r="AC56" s="20"/>
      <c r="AD56" s="20"/>
      <c r="AE56" s="20"/>
      <c r="AF56" s="13">
        <f t="shared" si="1"/>
        <v>388</v>
      </c>
      <c r="AG56" s="14">
        <f t="shared" si="2"/>
        <v>0.8553791887</v>
      </c>
    </row>
    <row r="57">
      <c r="A57" s="18">
        <v>45172.0</v>
      </c>
      <c r="B57" s="12"/>
      <c r="C57" s="11">
        <v>18.0</v>
      </c>
      <c r="D57" s="12"/>
      <c r="E57" s="11">
        <v>57.0</v>
      </c>
      <c r="F57" s="12"/>
      <c r="G57" s="12"/>
      <c r="H57" s="12"/>
      <c r="I57" s="12"/>
      <c r="J57" s="12"/>
      <c r="K57" s="12"/>
      <c r="L57" s="12"/>
      <c r="M57" s="12"/>
      <c r="N57" s="11">
        <v>25.0</v>
      </c>
      <c r="O57" s="11">
        <v>13.0</v>
      </c>
      <c r="P57" s="11">
        <v>165.0</v>
      </c>
      <c r="Q57" s="12"/>
      <c r="R57" s="11">
        <v>91.0</v>
      </c>
      <c r="S57" s="11">
        <v>153.0</v>
      </c>
      <c r="T57" s="12"/>
      <c r="U57" s="12"/>
      <c r="V57" s="12"/>
      <c r="W57" s="12"/>
      <c r="X57" s="12"/>
      <c r="Y57" s="12"/>
      <c r="Z57" s="12"/>
      <c r="AA57" s="12"/>
      <c r="AB57" s="11"/>
      <c r="AC57" s="21"/>
      <c r="AD57" s="21"/>
      <c r="AE57" s="21"/>
      <c r="AF57" s="13">
        <f t="shared" si="1"/>
        <v>522</v>
      </c>
      <c r="AG57" s="14">
        <f t="shared" si="2"/>
        <v>1.150793651</v>
      </c>
    </row>
    <row r="58">
      <c r="A58" s="15">
        <v>45174.0</v>
      </c>
      <c r="B58" s="17"/>
      <c r="C58" s="20"/>
      <c r="D58" s="17"/>
      <c r="E58" s="16">
        <v>94.0</v>
      </c>
      <c r="F58" s="17"/>
      <c r="G58" s="17"/>
      <c r="H58" s="17"/>
      <c r="I58" s="17"/>
      <c r="J58" s="17"/>
      <c r="K58" s="17"/>
      <c r="L58" s="17"/>
      <c r="M58" s="17"/>
      <c r="N58" s="16">
        <v>9.0</v>
      </c>
      <c r="O58" s="20"/>
      <c r="P58" s="20"/>
      <c r="Q58" s="16">
        <v>24.0</v>
      </c>
      <c r="R58" s="20"/>
      <c r="S58" s="16">
        <v>25.0</v>
      </c>
      <c r="T58" s="17"/>
      <c r="U58" s="17"/>
      <c r="V58" s="17"/>
      <c r="W58" s="17"/>
      <c r="X58" s="17"/>
      <c r="Y58" s="17"/>
      <c r="Z58" s="17"/>
      <c r="AA58" s="17"/>
      <c r="AB58" s="20"/>
      <c r="AC58" s="20"/>
      <c r="AD58" s="20"/>
      <c r="AE58" s="20"/>
      <c r="AF58" s="13">
        <f t="shared" si="1"/>
        <v>152</v>
      </c>
      <c r="AG58" s="14">
        <f t="shared" si="2"/>
        <v>0.3350970018</v>
      </c>
    </row>
    <row r="59">
      <c r="A59" s="18">
        <v>45175.0</v>
      </c>
      <c r="B59" s="12"/>
      <c r="C59" s="21"/>
      <c r="D59" s="12"/>
      <c r="E59" s="21"/>
      <c r="F59" s="12"/>
      <c r="G59" s="12"/>
      <c r="H59" s="12"/>
      <c r="I59" s="12"/>
      <c r="J59" s="12"/>
      <c r="K59" s="12"/>
      <c r="L59" s="12"/>
      <c r="M59" s="12"/>
      <c r="N59" s="21"/>
      <c r="O59" s="21"/>
      <c r="P59" s="21"/>
      <c r="Q59" s="21"/>
      <c r="R59" s="21"/>
      <c r="S59" s="21"/>
      <c r="T59" s="12"/>
      <c r="U59" s="11">
        <f>395+594+226</f>
        <v>1215</v>
      </c>
      <c r="V59" s="12"/>
      <c r="W59" s="12"/>
      <c r="X59" s="12"/>
      <c r="Y59" s="12"/>
      <c r="Z59" s="12"/>
      <c r="AA59" s="12"/>
      <c r="AB59" s="21"/>
      <c r="AC59" s="21"/>
      <c r="AD59" s="21"/>
      <c r="AE59" s="21"/>
      <c r="AF59" s="13">
        <f t="shared" si="1"/>
        <v>1215</v>
      </c>
      <c r="AG59" s="14">
        <f t="shared" si="2"/>
        <v>2.678571429</v>
      </c>
    </row>
    <row r="60">
      <c r="A60" s="15">
        <v>45176.0</v>
      </c>
      <c r="B60" s="17"/>
      <c r="C60" s="20"/>
      <c r="D60" s="17"/>
      <c r="E60" s="20"/>
      <c r="F60" s="17"/>
      <c r="G60" s="17"/>
      <c r="H60" s="17"/>
      <c r="I60" s="17"/>
      <c r="J60" s="17"/>
      <c r="K60" s="17"/>
      <c r="L60" s="17"/>
      <c r="M60" s="17"/>
      <c r="N60" s="20"/>
      <c r="O60" s="20"/>
      <c r="P60" s="20"/>
      <c r="Q60" s="20"/>
      <c r="R60" s="20"/>
      <c r="S60" s="20"/>
      <c r="T60" s="17"/>
      <c r="U60" s="16">
        <v>81.0</v>
      </c>
      <c r="V60" s="17"/>
      <c r="W60" s="17"/>
      <c r="X60" s="17"/>
      <c r="Y60" s="17"/>
      <c r="Z60" s="17"/>
      <c r="AA60" s="17"/>
      <c r="AB60" s="20"/>
      <c r="AC60" s="20"/>
      <c r="AD60" s="20"/>
      <c r="AE60" s="20"/>
      <c r="AF60" s="13">
        <f t="shared" si="1"/>
        <v>81</v>
      </c>
      <c r="AG60" s="14">
        <f t="shared" si="2"/>
        <v>0.1785714286</v>
      </c>
    </row>
    <row r="61">
      <c r="A61" s="18">
        <v>45177.0</v>
      </c>
      <c r="B61" s="12"/>
      <c r="C61" s="11">
        <v>6.0</v>
      </c>
      <c r="D61" s="12"/>
      <c r="E61" s="21"/>
      <c r="F61" s="12"/>
      <c r="G61" s="12"/>
      <c r="H61" s="12"/>
      <c r="I61" s="12"/>
      <c r="J61" s="12"/>
      <c r="K61" s="12"/>
      <c r="L61" s="12"/>
      <c r="M61" s="12"/>
      <c r="N61" s="11">
        <v>30.0</v>
      </c>
      <c r="O61" s="21"/>
      <c r="P61" s="11">
        <v>745.0</v>
      </c>
      <c r="Q61" s="11">
        <v>85.0</v>
      </c>
      <c r="R61" s="21"/>
      <c r="S61" s="11">
        <v>100.0</v>
      </c>
      <c r="T61" s="12"/>
      <c r="U61" s="21"/>
      <c r="V61" s="12"/>
      <c r="W61" s="12"/>
      <c r="X61" s="12"/>
      <c r="Y61" s="12"/>
      <c r="Z61" s="12"/>
      <c r="AA61" s="12"/>
      <c r="AB61" s="21"/>
      <c r="AC61" s="21"/>
      <c r="AD61" s="21"/>
      <c r="AE61" s="21"/>
      <c r="AF61" s="13">
        <f t="shared" si="1"/>
        <v>966</v>
      </c>
      <c r="AG61" s="14">
        <f t="shared" si="2"/>
        <v>2.12962963</v>
      </c>
    </row>
    <row r="62">
      <c r="A62" s="15">
        <v>45179.0</v>
      </c>
      <c r="B62" s="17"/>
      <c r="C62" s="16">
        <v>12.0</v>
      </c>
      <c r="D62" s="17"/>
      <c r="E62" s="20"/>
      <c r="F62" s="17"/>
      <c r="G62" s="17"/>
      <c r="H62" s="17"/>
      <c r="I62" s="17"/>
      <c r="J62" s="17"/>
      <c r="K62" s="16">
        <v>53.0</v>
      </c>
      <c r="L62" s="17"/>
      <c r="M62" s="17"/>
      <c r="N62" s="16">
        <v>19.0</v>
      </c>
      <c r="O62" s="16">
        <v>16.0</v>
      </c>
      <c r="P62" s="16">
        <v>229.0</v>
      </c>
      <c r="Q62" s="20"/>
      <c r="R62" s="20"/>
      <c r="S62" s="16">
        <v>35.0</v>
      </c>
      <c r="T62" s="17"/>
      <c r="U62" s="20"/>
      <c r="V62" s="17"/>
      <c r="W62" s="17"/>
      <c r="X62" s="17"/>
      <c r="Y62" s="17"/>
      <c r="Z62" s="17"/>
      <c r="AA62" s="17"/>
      <c r="AB62" s="20"/>
      <c r="AC62" s="20"/>
      <c r="AD62" s="20"/>
      <c r="AE62" s="20"/>
      <c r="AF62" s="13">
        <f t="shared" si="1"/>
        <v>364</v>
      </c>
      <c r="AG62" s="14">
        <f t="shared" si="2"/>
        <v>0.8024691358</v>
      </c>
    </row>
    <row r="63">
      <c r="A63" s="18">
        <v>45183.0</v>
      </c>
      <c r="B63" s="12"/>
      <c r="C63" s="21"/>
      <c r="D63" s="12"/>
      <c r="E63" s="21"/>
      <c r="F63" s="12"/>
      <c r="G63" s="12"/>
      <c r="H63" s="12"/>
      <c r="I63" s="12"/>
      <c r="J63" s="12"/>
      <c r="K63" s="21"/>
      <c r="L63" s="12"/>
      <c r="M63" s="12"/>
      <c r="N63" s="21"/>
      <c r="O63" s="21"/>
      <c r="P63" s="21"/>
      <c r="Q63" s="11">
        <v>249.0</v>
      </c>
      <c r="R63" s="21"/>
      <c r="S63" s="21"/>
      <c r="T63" s="12"/>
      <c r="U63" s="21"/>
      <c r="V63" s="12"/>
      <c r="W63" s="12"/>
      <c r="X63" s="12"/>
      <c r="Y63" s="12"/>
      <c r="Z63" s="12"/>
      <c r="AA63" s="12"/>
      <c r="AB63" s="21"/>
      <c r="AC63" s="21"/>
      <c r="AD63" s="21"/>
      <c r="AE63" s="21"/>
      <c r="AF63" s="13">
        <f t="shared" si="1"/>
        <v>249</v>
      </c>
      <c r="AG63" s="14">
        <f t="shared" si="2"/>
        <v>0.5489417989</v>
      </c>
    </row>
    <row r="64">
      <c r="A64" s="15">
        <v>45184.0</v>
      </c>
      <c r="B64" s="17"/>
      <c r="C64" s="20"/>
      <c r="D64" s="17"/>
      <c r="E64" s="16">
        <v>91.0</v>
      </c>
      <c r="F64" s="17"/>
      <c r="G64" s="17"/>
      <c r="H64" s="17"/>
      <c r="I64" s="17"/>
      <c r="J64" s="17"/>
      <c r="K64" s="20"/>
      <c r="L64" s="17"/>
      <c r="M64" s="17"/>
      <c r="N64" s="16">
        <v>25.0</v>
      </c>
      <c r="O64" s="16">
        <v>27.0</v>
      </c>
      <c r="P64" s="16">
        <v>392.0</v>
      </c>
      <c r="Q64" s="20"/>
      <c r="R64" s="20"/>
      <c r="S64" s="20"/>
      <c r="T64" s="17"/>
      <c r="U64" s="20"/>
      <c r="V64" s="16"/>
      <c r="W64" s="16">
        <v>25.0</v>
      </c>
      <c r="X64" s="17"/>
      <c r="Y64" s="17"/>
      <c r="Z64" s="17"/>
      <c r="AA64" s="17"/>
      <c r="AB64" s="20"/>
      <c r="AC64" s="16">
        <v>820.0</v>
      </c>
      <c r="AD64" s="20"/>
      <c r="AE64" s="20"/>
      <c r="AF64" s="13">
        <f t="shared" si="1"/>
        <v>1380</v>
      </c>
      <c r="AG64" s="14">
        <f t="shared" si="2"/>
        <v>3.042328042</v>
      </c>
    </row>
    <row r="65">
      <c r="A65" s="18">
        <v>45186.0</v>
      </c>
      <c r="B65" s="12"/>
      <c r="C65" s="21"/>
      <c r="D65" s="12"/>
      <c r="E65" s="21"/>
      <c r="F65" s="12"/>
      <c r="G65" s="12"/>
      <c r="H65" s="12"/>
      <c r="I65" s="12"/>
      <c r="J65" s="12"/>
      <c r="K65" s="21"/>
      <c r="L65" s="12"/>
      <c r="M65" s="12"/>
      <c r="N65" s="21"/>
      <c r="O65" s="21"/>
      <c r="P65" s="21"/>
      <c r="Q65" s="21"/>
      <c r="R65" s="21"/>
      <c r="S65" s="21"/>
      <c r="T65" s="12"/>
      <c r="U65" s="21"/>
      <c r="V65" s="21"/>
      <c r="W65" s="21"/>
      <c r="X65" s="11">
        <v>1214.0</v>
      </c>
      <c r="Y65" s="12"/>
      <c r="Z65" s="11"/>
      <c r="AA65" s="11">
        <v>1201.0</v>
      </c>
      <c r="AB65" s="21"/>
      <c r="AC65" s="21"/>
      <c r="AD65" s="21"/>
      <c r="AE65" s="21"/>
      <c r="AF65" s="13">
        <f t="shared" si="1"/>
        <v>2415</v>
      </c>
      <c r="AG65" s="14">
        <f t="shared" si="2"/>
        <v>5.324074074</v>
      </c>
    </row>
    <row r="66">
      <c r="A66" s="15">
        <v>45189.0</v>
      </c>
      <c r="B66" s="17"/>
      <c r="C66" s="20"/>
      <c r="D66" s="17"/>
      <c r="E66" s="20"/>
      <c r="F66" s="17"/>
      <c r="G66" s="17"/>
      <c r="H66" s="17"/>
      <c r="I66" s="17"/>
      <c r="J66" s="17"/>
      <c r="K66" s="20"/>
      <c r="L66" s="17"/>
      <c r="M66" s="17"/>
      <c r="N66" s="16">
        <v>45.0</v>
      </c>
      <c r="O66" s="20"/>
      <c r="P66" s="20"/>
      <c r="Q66" s="20"/>
      <c r="R66" s="20"/>
      <c r="S66" s="16">
        <v>72.0</v>
      </c>
      <c r="T66" s="16"/>
      <c r="U66" s="20"/>
      <c r="V66" s="20"/>
      <c r="W66" s="20"/>
      <c r="X66" s="20"/>
      <c r="Y66" s="17"/>
      <c r="Z66" s="20"/>
      <c r="AA66" s="20"/>
      <c r="AB66" s="20"/>
      <c r="AC66" s="20"/>
      <c r="AD66" s="20"/>
      <c r="AE66" s="20"/>
      <c r="AF66" s="13">
        <f t="shared" si="1"/>
        <v>117</v>
      </c>
      <c r="AG66" s="14">
        <f t="shared" si="2"/>
        <v>0.2579365079</v>
      </c>
    </row>
    <row r="67">
      <c r="A67" s="18">
        <v>45204.0</v>
      </c>
      <c r="B67" s="12"/>
      <c r="C67" s="21"/>
      <c r="D67" s="12"/>
      <c r="E67" s="21"/>
      <c r="F67" s="12"/>
      <c r="G67" s="12"/>
      <c r="H67" s="12"/>
      <c r="I67" s="12"/>
      <c r="J67" s="12"/>
      <c r="K67" s="21"/>
      <c r="L67" s="12"/>
      <c r="M67" s="12"/>
      <c r="N67" s="11">
        <v>213.0</v>
      </c>
      <c r="O67" s="21"/>
      <c r="P67" s="21"/>
      <c r="Q67" s="11">
        <v>240.0</v>
      </c>
      <c r="R67" s="21"/>
      <c r="S67" s="11">
        <v>47.0</v>
      </c>
      <c r="T67" s="21"/>
      <c r="U67" s="21"/>
      <c r="V67" s="21"/>
      <c r="W67" s="21"/>
      <c r="X67" s="21"/>
      <c r="Y67" s="12"/>
      <c r="Z67" s="21"/>
      <c r="AA67" s="21"/>
      <c r="AB67" s="21"/>
      <c r="AC67" s="21"/>
      <c r="AD67" s="21"/>
      <c r="AE67" s="21"/>
      <c r="AF67" s="13">
        <f t="shared" si="1"/>
        <v>500</v>
      </c>
      <c r="AG67" s="14">
        <f t="shared" si="2"/>
        <v>1.102292769</v>
      </c>
    </row>
    <row r="68">
      <c r="A68" s="15">
        <v>45206.0</v>
      </c>
      <c r="B68" s="17"/>
      <c r="C68" s="20"/>
      <c r="D68" s="17"/>
      <c r="E68" s="20"/>
      <c r="F68" s="17"/>
      <c r="G68" s="17"/>
      <c r="H68" s="17"/>
      <c r="I68" s="17"/>
      <c r="J68" s="17"/>
      <c r="K68" s="20"/>
      <c r="L68" s="17"/>
      <c r="M68" s="17"/>
      <c r="N68" s="16">
        <v>155.0</v>
      </c>
      <c r="O68" s="20"/>
      <c r="P68" s="20"/>
      <c r="Q68" s="16">
        <v>121.0</v>
      </c>
      <c r="R68" s="20"/>
      <c r="S68" s="16">
        <v>140.0</v>
      </c>
      <c r="T68" s="20"/>
      <c r="U68" s="20"/>
      <c r="V68" s="20"/>
      <c r="W68" s="20"/>
      <c r="X68" s="20"/>
      <c r="Y68" s="17"/>
      <c r="Z68" s="20"/>
      <c r="AA68" s="20"/>
      <c r="AB68" s="20"/>
      <c r="AC68" s="20"/>
      <c r="AD68" s="20"/>
      <c r="AE68" s="20"/>
      <c r="AF68" s="13">
        <f t="shared" si="1"/>
        <v>416</v>
      </c>
      <c r="AG68" s="14">
        <f t="shared" si="2"/>
        <v>0.9171075838</v>
      </c>
    </row>
    <row r="69">
      <c r="A69" s="18">
        <v>45214.0</v>
      </c>
      <c r="B69" s="12"/>
      <c r="C69" s="21"/>
      <c r="D69" s="12"/>
      <c r="E69" s="11">
        <v>138.0</v>
      </c>
      <c r="F69" s="12"/>
      <c r="G69" s="12"/>
      <c r="H69" s="12"/>
      <c r="I69" s="12"/>
      <c r="J69" s="12"/>
      <c r="K69" s="21"/>
      <c r="L69" s="12"/>
      <c r="M69" s="12"/>
      <c r="N69" s="11">
        <v>204.0</v>
      </c>
      <c r="O69" s="21"/>
      <c r="P69" s="21"/>
      <c r="Q69" s="11">
        <v>322.0</v>
      </c>
      <c r="R69" s="21"/>
      <c r="S69" s="11">
        <v>63.0</v>
      </c>
      <c r="T69" s="21"/>
      <c r="U69" s="21"/>
      <c r="V69" s="21"/>
      <c r="W69" s="21"/>
      <c r="X69" s="21"/>
      <c r="Y69" s="12"/>
      <c r="Z69" s="21"/>
      <c r="AA69" s="21"/>
      <c r="AB69" s="21"/>
      <c r="AC69" s="21"/>
      <c r="AD69" s="11">
        <v>1238.0</v>
      </c>
      <c r="AE69" s="21"/>
      <c r="AF69" s="13">
        <f t="shared" si="1"/>
        <v>1965</v>
      </c>
      <c r="AG69" s="14">
        <f t="shared" si="2"/>
        <v>4.332010582</v>
      </c>
    </row>
    <row r="70">
      <c r="A70" s="15">
        <v>45218.0</v>
      </c>
      <c r="B70" s="17"/>
      <c r="C70" s="20"/>
      <c r="D70" s="17"/>
      <c r="E70" s="16">
        <v>25.0</v>
      </c>
      <c r="F70" s="17"/>
      <c r="G70" s="17"/>
      <c r="H70" s="16">
        <v>3.0</v>
      </c>
      <c r="I70" s="17"/>
      <c r="J70" s="17"/>
      <c r="K70" s="20"/>
      <c r="L70" s="17"/>
      <c r="M70" s="17"/>
      <c r="N70" s="16">
        <v>70.0</v>
      </c>
      <c r="O70" s="20"/>
      <c r="P70" s="20"/>
      <c r="Q70" s="16">
        <v>685.0</v>
      </c>
      <c r="R70" s="20"/>
      <c r="S70" s="20">
        <f>385+36</f>
        <v>421</v>
      </c>
      <c r="T70" s="20"/>
      <c r="U70" s="20"/>
      <c r="V70" s="20"/>
      <c r="W70" s="20"/>
      <c r="X70" s="20"/>
      <c r="Y70" s="17"/>
      <c r="Z70" s="20"/>
      <c r="AA70" s="20"/>
      <c r="AB70" s="16">
        <v>35.0</v>
      </c>
      <c r="AC70" s="20"/>
      <c r="AD70" s="20"/>
      <c r="AE70" s="20"/>
      <c r="AF70" s="13">
        <f t="shared" si="1"/>
        <v>1239</v>
      </c>
      <c r="AG70" s="14">
        <f t="shared" si="2"/>
        <v>2.731481481</v>
      </c>
    </row>
    <row r="71">
      <c r="A71" s="18">
        <v>45227.0</v>
      </c>
      <c r="B71" s="12"/>
      <c r="C71" s="21"/>
      <c r="D71" s="12"/>
      <c r="E71" s="21"/>
      <c r="F71" s="12"/>
      <c r="G71" s="12"/>
      <c r="H71" s="21"/>
      <c r="I71" s="12"/>
      <c r="J71" s="12"/>
      <c r="K71" s="21"/>
      <c r="L71" s="12"/>
      <c r="M71" s="12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11">
        <v>287.0</v>
      </c>
      <c r="Z71" s="11">
        <v>2704.0</v>
      </c>
      <c r="AA71" s="21">
        <f>1287+896</f>
        <v>2183</v>
      </c>
      <c r="AB71" s="21"/>
      <c r="AC71" s="21"/>
      <c r="AD71" s="21"/>
      <c r="AE71" s="21"/>
      <c r="AF71" s="13">
        <f t="shared" si="1"/>
        <v>5174</v>
      </c>
      <c r="AG71" s="14">
        <f t="shared" si="2"/>
        <v>11.40652557</v>
      </c>
    </row>
    <row r="72">
      <c r="A72" s="15">
        <v>45234.0</v>
      </c>
      <c r="B72" s="17"/>
      <c r="C72" s="20"/>
      <c r="D72" s="17"/>
      <c r="E72" s="20"/>
      <c r="F72" s="17"/>
      <c r="G72" s="17"/>
      <c r="H72" s="20"/>
      <c r="I72" s="17"/>
      <c r="J72" s="17"/>
      <c r="K72" s="20"/>
      <c r="L72" s="17"/>
      <c r="M72" s="17"/>
      <c r="N72" s="20"/>
      <c r="O72" s="20"/>
      <c r="P72" s="20"/>
      <c r="Q72" s="16">
        <v>645.0</v>
      </c>
      <c r="R72" s="20"/>
      <c r="S72" s="16">
        <v>218.0</v>
      </c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13">
        <f t="shared" si="1"/>
        <v>863</v>
      </c>
      <c r="AG72" s="14">
        <f t="shared" si="2"/>
        <v>1.902557319</v>
      </c>
    </row>
    <row r="73">
      <c r="A73" s="18">
        <v>45254.0</v>
      </c>
      <c r="B73" s="12"/>
      <c r="C73" s="21"/>
      <c r="D73" s="12"/>
      <c r="E73" s="21"/>
      <c r="F73" s="11">
        <v>147.0</v>
      </c>
      <c r="G73" s="12"/>
      <c r="H73" s="21"/>
      <c r="I73" s="12"/>
      <c r="J73" s="12"/>
      <c r="K73" s="21"/>
      <c r="L73" s="12"/>
      <c r="M73" s="12"/>
      <c r="N73" s="21"/>
      <c r="O73" s="21"/>
      <c r="P73" s="21"/>
      <c r="Q73" s="21"/>
      <c r="R73" s="21"/>
      <c r="S73" s="21"/>
      <c r="T73" s="21"/>
      <c r="U73" s="21"/>
      <c r="V73" s="11">
        <v>369.0</v>
      </c>
      <c r="W73" s="21"/>
      <c r="X73" s="21"/>
      <c r="Y73" s="21"/>
      <c r="Z73" s="21"/>
      <c r="AA73" s="21"/>
      <c r="AB73" s="21"/>
      <c r="AC73" s="21"/>
      <c r="AD73" s="21"/>
      <c r="AE73" s="21"/>
      <c r="AF73" s="13">
        <f t="shared" si="1"/>
        <v>516</v>
      </c>
      <c r="AG73" s="14">
        <f t="shared" si="2"/>
        <v>1.137566138</v>
      </c>
    </row>
    <row r="74">
      <c r="A74" s="22">
        <v>45368.0</v>
      </c>
      <c r="B74" s="17"/>
      <c r="C74" s="20"/>
      <c r="D74" s="17"/>
      <c r="E74" s="20"/>
      <c r="F74" s="20"/>
      <c r="G74" s="17"/>
      <c r="H74" s="20"/>
      <c r="I74" s="17"/>
      <c r="J74" s="17"/>
      <c r="K74" s="20"/>
      <c r="L74" s="17"/>
      <c r="M74" s="17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3">
        <v>515.0</v>
      </c>
      <c r="AF74" s="24"/>
      <c r="AG74" s="24"/>
    </row>
    <row r="75">
      <c r="AE75" s="24"/>
      <c r="AF75" s="24">
        <f t="shared" ref="AF75:AG75" si="3">SUM(AF3:AF73)</f>
        <v>45631</v>
      </c>
      <c r="AG75" s="24">
        <f t="shared" si="3"/>
        <v>100.5974427</v>
      </c>
    </row>
    <row r="76">
      <c r="A76" s="25" t="s">
        <v>37</v>
      </c>
      <c r="B76" s="13">
        <f t="shared" ref="B76:AD76" si="4">SUM(B3:B73)</f>
        <v>1307</v>
      </c>
      <c r="C76" s="13">
        <f t="shared" si="4"/>
        <v>800</v>
      </c>
      <c r="D76" s="13">
        <f t="shared" si="4"/>
        <v>36</v>
      </c>
      <c r="E76" s="13">
        <f t="shared" si="4"/>
        <v>7487</v>
      </c>
      <c r="F76" s="13">
        <f t="shared" si="4"/>
        <v>147</v>
      </c>
      <c r="G76" s="13">
        <f t="shared" si="4"/>
        <v>6</v>
      </c>
      <c r="H76" s="13">
        <f t="shared" si="4"/>
        <v>57</v>
      </c>
      <c r="I76" s="13">
        <f t="shared" si="4"/>
        <v>3</v>
      </c>
      <c r="J76" s="13">
        <f t="shared" si="4"/>
        <v>965</v>
      </c>
      <c r="K76" s="13">
        <f t="shared" si="4"/>
        <v>123</v>
      </c>
      <c r="L76" s="13">
        <f t="shared" si="4"/>
        <v>1693</v>
      </c>
      <c r="M76" s="13">
        <f t="shared" si="4"/>
        <v>472</v>
      </c>
      <c r="N76" s="13">
        <f t="shared" si="4"/>
        <v>1946</v>
      </c>
      <c r="O76" s="13">
        <f t="shared" si="4"/>
        <v>759</v>
      </c>
      <c r="P76" s="13">
        <f t="shared" si="4"/>
        <v>5072</v>
      </c>
      <c r="Q76" s="13">
        <f t="shared" si="4"/>
        <v>3586</v>
      </c>
      <c r="R76" s="13">
        <f t="shared" si="4"/>
        <v>1126</v>
      </c>
      <c r="S76" s="13">
        <f t="shared" si="4"/>
        <v>3629</v>
      </c>
      <c r="T76" s="13">
        <f t="shared" si="4"/>
        <v>1741</v>
      </c>
      <c r="U76" s="13">
        <f t="shared" si="4"/>
        <v>1943</v>
      </c>
      <c r="V76" s="13">
        <f t="shared" si="4"/>
        <v>369</v>
      </c>
      <c r="W76" s="13">
        <f t="shared" si="4"/>
        <v>45</v>
      </c>
      <c r="X76" s="13">
        <f t="shared" si="4"/>
        <v>2455</v>
      </c>
      <c r="Y76" s="13">
        <f t="shared" si="4"/>
        <v>697</v>
      </c>
      <c r="Z76" s="13">
        <f t="shared" si="4"/>
        <v>2704</v>
      </c>
      <c r="AA76" s="13">
        <f t="shared" si="4"/>
        <v>4311</v>
      </c>
      <c r="AB76" s="13">
        <f t="shared" si="4"/>
        <v>94</v>
      </c>
      <c r="AC76" s="13">
        <f t="shared" si="4"/>
        <v>820</v>
      </c>
      <c r="AD76" s="13">
        <f t="shared" si="4"/>
        <v>1238</v>
      </c>
      <c r="AE76" s="24"/>
      <c r="AF76" s="24">
        <f t="shared" ref="AF76:AF77" si="6">SUM(B76:AD76)</f>
        <v>45631</v>
      </c>
      <c r="AG76" s="14"/>
    </row>
    <row r="77">
      <c r="A77" s="26"/>
      <c r="B77" s="26">
        <f t="shared" ref="B77:AD77" si="5">B76/$AI$7</f>
        <v>2.881393298</v>
      </c>
      <c r="C77" s="26">
        <f t="shared" si="5"/>
        <v>1.76366843</v>
      </c>
      <c r="D77" s="26">
        <f t="shared" si="5"/>
        <v>0.07936507937</v>
      </c>
      <c r="E77" s="26">
        <f t="shared" si="5"/>
        <v>16.50573192</v>
      </c>
      <c r="F77" s="26">
        <f t="shared" si="5"/>
        <v>0.3240740741</v>
      </c>
      <c r="G77" s="26">
        <f t="shared" si="5"/>
        <v>0.01322751323</v>
      </c>
      <c r="H77" s="26">
        <f t="shared" si="5"/>
        <v>0.1256613757</v>
      </c>
      <c r="I77" s="26">
        <f t="shared" si="5"/>
        <v>0.006613756614</v>
      </c>
      <c r="J77" s="26">
        <f t="shared" si="5"/>
        <v>2.127425044</v>
      </c>
      <c r="K77" s="26">
        <f t="shared" si="5"/>
        <v>0.2711640212</v>
      </c>
      <c r="L77" s="26">
        <f t="shared" si="5"/>
        <v>3.732363316</v>
      </c>
      <c r="M77" s="26">
        <f t="shared" si="5"/>
        <v>1.040564374</v>
      </c>
      <c r="N77" s="26">
        <f t="shared" si="5"/>
        <v>4.290123457</v>
      </c>
      <c r="O77" s="26">
        <f t="shared" si="5"/>
        <v>1.673280423</v>
      </c>
      <c r="P77" s="26">
        <f t="shared" si="5"/>
        <v>11.18165785</v>
      </c>
      <c r="Q77" s="26">
        <f t="shared" si="5"/>
        <v>7.905643739</v>
      </c>
      <c r="R77" s="26">
        <f t="shared" si="5"/>
        <v>2.482363316</v>
      </c>
      <c r="S77" s="26">
        <f t="shared" si="5"/>
        <v>8.000440917</v>
      </c>
      <c r="T77" s="26">
        <f t="shared" si="5"/>
        <v>3.838183422</v>
      </c>
      <c r="U77" s="26">
        <f t="shared" si="5"/>
        <v>4.2835097</v>
      </c>
      <c r="V77" s="26">
        <f t="shared" si="5"/>
        <v>0.8134920635</v>
      </c>
      <c r="W77" s="26">
        <f t="shared" si="5"/>
        <v>0.09920634921</v>
      </c>
      <c r="X77" s="26">
        <f t="shared" si="5"/>
        <v>5.412257496</v>
      </c>
      <c r="Y77" s="26">
        <f t="shared" si="5"/>
        <v>1.53659612</v>
      </c>
      <c r="Z77" s="26">
        <f t="shared" si="5"/>
        <v>5.961199295</v>
      </c>
      <c r="AA77" s="26">
        <f t="shared" si="5"/>
        <v>9.503968254</v>
      </c>
      <c r="AB77" s="26">
        <f t="shared" si="5"/>
        <v>0.2072310406</v>
      </c>
      <c r="AC77" s="26">
        <f t="shared" si="5"/>
        <v>1.807760141</v>
      </c>
      <c r="AD77" s="26">
        <f t="shared" si="5"/>
        <v>2.729276896</v>
      </c>
      <c r="AE77" s="24"/>
      <c r="AF77" s="24">
        <f t="shared" si="6"/>
        <v>100.5974427</v>
      </c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</row>
    <row r="78">
      <c r="AG78" s="14"/>
    </row>
    <row r="79">
      <c r="AG79" s="14"/>
    </row>
    <row r="80">
      <c r="AG80" s="14"/>
    </row>
    <row r="81">
      <c r="AG81" s="14"/>
    </row>
    <row r="82">
      <c r="AG82" s="14"/>
    </row>
    <row r="83">
      <c r="AG83" s="14"/>
    </row>
    <row r="84">
      <c r="AG84" s="14"/>
    </row>
    <row r="85">
      <c r="AG85" s="14"/>
    </row>
    <row r="86">
      <c r="AG86" s="14"/>
    </row>
    <row r="87">
      <c r="AG87" s="14"/>
    </row>
    <row r="88">
      <c r="AG88" s="14"/>
    </row>
    <row r="89">
      <c r="AG89" s="14"/>
    </row>
    <row r="90">
      <c r="AG90" s="14"/>
    </row>
    <row r="91">
      <c r="AG91" s="14"/>
    </row>
    <row r="92">
      <c r="AG92" s="14"/>
    </row>
    <row r="93">
      <c r="AG93" s="14"/>
    </row>
    <row r="94">
      <c r="AG94" s="14"/>
    </row>
    <row r="95">
      <c r="AG95" s="14"/>
    </row>
    <row r="96">
      <c r="AG96" s="14"/>
    </row>
    <row r="97">
      <c r="AG97" s="14"/>
    </row>
    <row r="98">
      <c r="AG98" s="14"/>
    </row>
    <row r="99">
      <c r="AG99" s="14"/>
    </row>
    <row r="100">
      <c r="AG100" s="14"/>
    </row>
    <row r="101">
      <c r="AG101" s="14"/>
    </row>
    <row r="102">
      <c r="AG102" s="14"/>
    </row>
    <row r="103">
      <c r="AG103" s="14"/>
    </row>
    <row r="104">
      <c r="AG104" s="14"/>
    </row>
    <row r="105">
      <c r="AG105" s="14"/>
    </row>
    <row r="106">
      <c r="AG106" s="14"/>
    </row>
    <row r="107">
      <c r="AG107" s="14"/>
    </row>
    <row r="108">
      <c r="AG108" s="14"/>
    </row>
    <row r="109">
      <c r="AG109" s="14"/>
    </row>
    <row r="110">
      <c r="AG110" s="14"/>
    </row>
    <row r="111">
      <c r="AG111" s="14"/>
    </row>
    <row r="112">
      <c r="AG112" s="14"/>
    </row>
    <row r="113">
      <c r="AG113" s="14"/>
    </row>
    <row r="114">
      <c r="AG114" s="14"/>
    </row>
    <row r="115">
      <c r="AG115" s="14"/>
    </row>
    <row r="116">
      <c r="AG116" s="14"/>
    </row>
    <row r="117">
      <c r="AG117" s="14"/>
    </row>
    <row r="118">
      <c r="AG118" s="14"/>
    </row>
    <row r="119">
      <c r="AG119" s="14"/>
    </row>
    <row r="120">
      <c r="AG120" s="14"/>
    </row>
    <row r="121">
      <c r="AG121" s="14"/>
    </row>
    <row r="122">
      <c r="AG122" s="14"/>
    </row>
    <row r="123">
      <c r="AG123" s="14"/>
    </row>
    <row r="124">
      <c r="AG124" s="14"/>
    </row>
    <row r="125">
      <c r="AG125" s="14"/>
    </row>
    <row r="126">
      <c r="AG126" s="14"/>
    </row>
    <row r="127">
      <c r="AG127" s="14"/>
    </row>
    <row r="128">
      <c r="AG128" s="14"/>
    </row>
    <row r="129">
      <c r="AG129" s="14"/>
    </row>
    <row r="130">
      <c r="AG130" s="14"/>
    </row>
    <row r="131">
      <c r="AG131" s="14"/>
    </row>
    <row r="132">
      <c r="AG132" s="14"/>
    </row>
    <row r="133">
      <c r="AG133" s="14"/>
    </row>
    <row r="134">
      <c r="AG134" s="14"/>
    </row>
    <row r="135">
      <c r="AG135" s="14"/>
    </row>
    <row r="136">
      <c r="AG136" s="14"/>
    </row>
    <row r="137">
      <c r="AG137" s="14"/>
    </row>
    <row r="138">
      <c r="AG138" s="14"/>
    </row>
    <row r="139">
      <c r="AG139" s="14"/>
    </row>
    <row r="140">
      <c r="AG140" s="14"/>
    </row>
    <row r="141">
      <c r="AG141" s="14"/>
    </row>
    <row r="142">
      <c r="AG142" s="14"/>
    </row>
    <row r="143">
      <c r="AG143" s="14"/>
    </row>
    <row r="144">
      <c r="AG144" s="14"/>
    </row>
    <row r="145">
      <c r="AG145" s="14"/>
    </row>
    <row r="146">
      <c r="AG146" s="14"/>
    </row>
    <row r="147">
      <c r="AG147" s="14"/>
    </row>
    <row r="148">
      <c r="AG148" s="14"/>
    </row>
    <row r="149">
      <c r="AG149" s="14"/>
    </row>
    <row r="150">
      <c r="AG150" s="14"/>
    </row>
    <row r="151">
      <c r="AG151" s="14"/>
    </row>
    <row r="152">
      <c r="AG152" s="14"/>
    </row>
    <row r="153">
      <c r="AG153" s="14"/>
    </row>
    <row r="154">
      <c r="AG154" s="14"/>
    </row>
    <row r="155">
      <c r="AG155" s="14"/>
    </row>
    <row r="156">
      <c r="AG156" s="14"/>
    </row>
    <row r="157">
      <c r="AG157" s="14"/>
    </row>
    <row r="158">
      <c r="AG158" s="14"/>
    </row>
    <row r="159">
      <c r="AG159" s="14"/>
    </row>
    <row r="160">
      <c r="AG160" s="14"/>
    </row>
    <row r="161">
      <c r="AG161" s="14"/>
    </row>
    <row r="162">
      <c r="AG162" s="14"/>
    </row>
    <row r="163">
      <c r="AG163" s="14"/>
    </row>
    <row r="164">
      <c r="AG164" s="14"/>
    </row>
    <row r="165">
      <c r="AG165" s="14"/>
    </row>
    <row r="166">
      <c r="AG166" s="14"/>
    </row>
    <row r="167">
      <c r="AG167" s="14"/>
    </row>
    <row r="168">
      <c r="AG168" s="14"/>
    </row>
    <row r="169">
      <c r="AG169" s="14"/>
    </row>
    <row r="170">
      <c r="AG170" s="14"/>
    </row>
    <row r="171">
      <c r="AG171" s="14"/>
    </row>
    <row r="172">
      <c r="AG172" s="14"/>
    </row>
    <row r="173">
      <c r="AG173" s="14"/>
    </row>
    <row r="174">
      <c r="AG174" s="14"/>
    </row>
    <row r="175">
      <c r="AG175" s="14"/>
    </row>
    <row r="176">
      <c r="AG176" s="14"/>
    </row>
    <row r="177">
      <c r="AG177" s="14"/>
    </row>
    <row r="178">
      <c r="AG178" s="14"/>
    </row>
    <row r="179">
      <c r="AG179" s="14"/>
    </row>
    <row r="180">
      <c r="AG180" s="14"/>
    </row>
    <row r="181">
      <c r="AG181" s="14"/>
    </row>
    <row r="182">
      <c r="AG182" s="14"/>
    </row>
    <row r="183">
      <c r="AG183" s="14"/>
    </row>
    <row r="184">
      <c r="AG184" s="14"/>
    </row>
    <row r="185">
      <c r="AG185" s="14"/>
    </row>
    <row r="186">
      <c r="AG186" s="14"/>
    </row>
    <row r="187">
      <c r="AG187" s="14"/>
    </row>
    <row r="188">
      <c r="AG188" s="14"/>
    </row>
    <row r="189">
      <c r="AG189" s="14"/>
    </row>
    <row r="190">
      <c r="AG190" s="14"/>
    </row>
    <row r="191">
      <c r="AG191" s="14"/>
    </row>
    <row r="192">
      <c r="AG192" s="14"/>
    </row>
    <row r="193">
      <c r="AG193" s="14"/>
    </row>
    <row r="194">
      <c r="AG194" s="14"/>
    </row>
    <row r="195">
      <c r="AG195" s="14"/>
    </row>
    <row r="196">
      <c r="AG196" s="14"/>
    </row>
    <row r="197">
      <c r="AG197" s="14"/>
    </row>
    <row r="198">
      <c r="AG198" s="14"/>
    </row>
    <row r="199">
      <c r="AG199" s="14"/>
    </row>
    <row r="200">
      <c r="AG200" s="14"/>
    </row>
    <row r="201">
      <c r="AG201" s="14"/>
    </row>
    <row r="202">
      <c r="AG202" s="14"/>
    </row>
    <row r="203">
      <c r="AG203" s="14"/>
    </row>
    <row r="204">
      <c r="AG204" s="14"/>
    </row>
    <row r="205">
      <c r="AG205" s="14"/>
    </row>
    <row r="206">
      <c r="AG206" s="14"/>
    </row>
    <row r="207">
      <c r="AG207" s="14"/>
    </row>
    <row r="208">
      <c r="AG208" s="14"/>
    </row>
    <row r="209">
      <c r="AG209" s="14"/>
    </row>
    <row r="210">
      <c r="AG210" s="14"/>
    </row>
    <row r="211">
      <c r="AG211" s="14"/>
    </row>
    <row r="212">
      <c r="AG212" s="14"/>
    </row>
    <row r="213">
      <c r="AG213" s="14"/>
    </row>
    <row r="214">
      <c r="AG214" s="14"/>
    </row>
    <row r="215">
      <c r="AG215" s="14"/>
    </row>
    <row r="216">
      <c r="AG216" s="14"/>
    </row>
    <row r="217">
      <c r="AG217" s="14"/>
    </row>
    <row r="218">
      <c r="AG218" s="14"/>
    </row>
    <row r="219">
      <c r="AG219" s="14"/>
    </row>
    <row r="220">
      <c r="AG220" s="14"/>
    </row>
    <row r="221">
      <c r="AG221" s="14"/>
    </row>
    <row r="222">
      <c r="AG222" s="14"/>
    </row>
    <row r="223">
      <c r="AG223" s="14"/>
    </row>
    <row r="224">
      <c r="AG224" s="14"/>
    </row>
    <row r="225">
      <c r="AG225" s="14"/>
    </row>
    <row r="226">
      <c r="AG226" s="14"/>
    </row>
    <row r="227">
      <c r="AG227" s="14"/>
    </row>
    <row r="228">
      <c r="AG228" s="14"/>
    </row>
    <row r="229">
      <c r="AG229" s="14"/>
    </row>
    <row r="230">
      <c r="AG230" s="14"/>
    </row>
    <row r="231">
      <c r="AG231" s="14"/>
    </row>
    <row r="232">
      <c r="AG232" s="14"/>
    </row>
    <row r="233">
      <c r="AG233" s="14"/>
    </row>
    <row r="234">
      <c r="AG234" s="14"/>
    </row>
    <row r="235">
      <c r="AG235" s="14"/>
    </row>
    <row r="236">
      <c r="AG236" s="14"/>
    </row>
    <row r="237">
      <c r="AG237" s="14"/>
    </row>
    <row r="238">
      <c r="AG238" s="14"/>
    </row>
    <row r="239">
      <c r="AG239" s="14"/>
    </row>
    <row r="240">
      <c r="AG240" s="14"/>
    </row>
    <row r="241">
      <c r="AG241" s="14"/>
    </row>
    <row r="242">
      <c r="AG242" s="14"/>
    </row>
    <row r="243">
      <c r="AG243" s="14"/>
    </row>
    <row r="244">
      <c r="AG244" s="14"/>
    </row>
    <row r="245">
      <c r="AG245" s="14"/>
    </row>
    <row r="246">
      <c r="AG246" s="14"/>
    </row>
    <row r="247">
      <c r="AG247" s="14"/>
    </row>
    <row r="248">
      <c r="AG248" s="14"/>
    </row>
    <row r="249">
      <c r="AG249" s="14"/>
    </row>
    <row r="250">
      <c r="AG250" s="14"/>
    </row>
    <row r="251">
      <c r="AG251" s="14"/>
    </row>
    <row r="252">
      <c r="AG252" s="14"/>
    </row>
    <row r="253">
      <c r="AG253" s="14"/>
    </row>
    <row r="254">
      <c r="AG254" s="14"/>
    </row>
    <row r="255">
      <c r="AG255" s="14"/>
    </row>
    <row r="256">
      <c r="AG256" s="14"/>
    </row>
    <row r="257">
      <c r="AG257" s="14"/>
    </row>
    <row r="258">
      <c r="AG258" s="14"/>
    </row>
    <row r="259">
      <c r="AG259" s="14"/>
    </row>
    <row r="260">
      <c r="AG260" s="14"/>
    </row>
    <row r="261">
      <c r="AG261" s="14"/>
    </row>
    <row r="262">
      <c r="AG262" s="14"/>
    </row>
    <row r="263">
      <c r="AG263" s="14"/>
    </row>
    <row r="264">
      <c r="AG264" s="14"/>
    </row>
    <row r="265">
      <c r="AG265" s="14"/>
    </row>
    <row r="266">
      <c r="AG266" s="14"/>
    </row>
    <row r="267">
      <c r="AG267" s="14"/>
    </row>
    <row r="268">
      <c r="AG268" s="14"/>
    </row>
    <row r="269">
      <c r="AG269" s="14"/>
    </row>
    <row r="270">
      <c r="AG270" s="14"/>
    </row>
    <row r="271">
      <c r="AG271" s="14"/>
    </row>
    <row r="272">
      <c r="AG272" s="14"/>
    </row>
    <row r="273">
      <c r="AG273" s="14"/>
    </row>
    <row r="274">
      <c r="AG274" s="14"/>
    </row>
    <row r="275">
      <c r="AG275" s="14"/>
    </row>
    <row r="276">
      <c r="AG276" s="14"/>
    </row>
    <row r="277">
      <c r="AG277" s="14"/>
    </row>
    <row r="278">
      <c r="AG278" s="14"/>
    </row>
    <row r="279">
      <c r="AG279" s="14"/>
    </row>
    <row r="280">
      <c r="AG280" s="14"/>
    </row>
    <row r="281">
      <c r="AG281" s="14"/>
    </row>
    <row r="282">
      <c r="AG282" s="14"/>
    </row>
    <row r="283">
      <c r="AG283" s="14"/>
    </row>
    <row r="284">
      <c r="AG284" s="14"/>
    </row>
    <row r="285">
      <c r="AG285" s="14"/>
    </row>
    <row r="286">
      <c r="AG286" s="14"/>
    </row>
    <row r="287">
      <c r="AG287" s="14"/>
    </row>
    <row r="288">
      <c r="AG288" s="14"/>
    </row>
    <row r="289">
      <c r="AG289" s="14"/>
    </row>
    <row r="290">
      <c r="AG290" s="14"/>
    </row>
    <row r="291">
      <c r="AG291" s="14"/>
    </row>
    <row r="292">
      <c r="AG292" s="14"/>
    </row>
    <row r="293">
      <c r="AG293" s="14"/>
    </row>
    <row r="294">
      <c r="AG294" s="14"/>
    </row>
    <row r="295">
      <c r="AG295" s="14"/>
    </row>
    <row r="296">
      <c r="AG296" s="14"/>
    </row>
    <row r="297">
      <c r="AG297" s="14"/>
    </row>
    <row r="298">
      <c r="AG298" s="14"/>
    </row>
    <row r="299">
      <c r="AG299" s="14"/>
    </row>
    <row r="300">
      <c r="AG300" s="14"/>
    </row>
    <row r="301">
      <c r="AG301" s="14"/>
    </row>
    <row r="302">
      <c r="AG302" s="14"/>
    </row>
    <row r="303">
      <c r="AG303" s="14"/>
    </row>
    <row r="304">
      <c r="AG304" s="14"/>
    </row>
    <row r="305">
      <c r="AG305" s="14"/>
    </row>
    <row r="306">
      <c r="AG306" s="14"/>
    </row>
    <row r="307">
      <c r="AG307" s="14"/>
    </row>
    <row r="308">
      <c r="AG308" s="14"/>
    </row>
    <row r="309">
      <c r="AG309" s="14"/>
    </row>
    <row r="310">
      <c r="AG310" s="14"/>
    </row>
    <row r="311">
      <c r="AG311" s="14"/>
    </row>
    <row r="312">
      <c r="AG312" s="14"/>
    </row>
    <row r="313">
      <c r="AG313" s="14"/>
    </row>
    <row r="314">
      <c r="AG314" s="14"/>
    </row>
    <row r="315">
      <c r="AG315" s="14"/>
    </row>
    <row r="316">
      <c r="AG316" s="14"/>
    </row>
    <row r="317">
      <c r="AG317" s="14"/>
    </row>
    <row r="318">
      <c r="AG318" s="14"/>
    </row>
    <row r="319">
      <c r="AG319" s="14"/>
    </row>
    <row r="320">
      <c r="AG320" s="14"/>
    </row>
    <row r="321">
      <c r="AG321" s="14"/>
    </row>
    <row r="322">
      <c r="AG322" s="14"/>
    </row>
    <row r="323">
      <c r="AG323" s="14"/>
    </row>
    <row r="324">
      <c r="AG324" s="14"/>
    </row>
    <row r="325">
      <c r="AG325" s="14"/>
    </row>
    <row r="326">
      <c r="AG326" s="14"/>
    </row>
    <row r="327">
      <c r="AG327" s="14"/>
    </row>
    <row r="328">
      <c r="AG328" s="14"/>
    </row>
    <row r="329">
      <c r="AG329" s="14"/>
    </row>
    <row r="330">
      <c r="AG330" s="14"/>
    </row>
    <row r="331">
      <c r="AG331" s="14"/>
    </row>
    <row r="332">
      <c r="AG332" s="14"/>
    </row>
    <row r="333">
      <c r="AG333" s="14"/>
    </row>
    <row r="334">
      <c r="AG334" s="14"/>
    </row>
    <row r="335">
      <c r="AG335" s="14"/>
    </row>
    <row r="336">
      <c r="AG336" s="14"/>
    </row>
    <row r="337">
      <c r="AG337" s="14"/>
    </row>
    <row r="338">
      <c r="AG338" s="14"/>
    </row>
    <row r="339">
      <c r="AG339" s="14"/>
    </row>
    <row r="340">
      <c r="AG340" s="14"/>
    </row>
    <row r="341">
      <c r="AG341" s="14"/>
    </row>
    <row r="342">
      <c r="AG342" s="14"/>
    </row>
    <row r="343">
      <c r="AG343" s="14"/>
    </row>
    <row r="344">
      <c r="AG344" s="14"/>
    </row>
    <row r="345">
      <c r="AG345" s="14"/>
    </row>
    <row r="346">
      <c r="AG346" s="14"/>
    </row>
    <row r="347">
      <c r="AG347" s="14"/>
    </row>
    <row r="348">
      <c r="AG348" s="14"/>
    </row>
    <row r="349">
      <c r="AG349" s="14"/>
    </row>
    <row r="350">
      <c r="AG350" s="14"/>
    </row>
    <row r="351">
      <c r="AG351" s="14"/>
    </row>
    <row r="352">
      <c r="AG352" s="14"/>
    </row>
    <row r="353">
      <c r="AG353" s="14"/>
    </row>
    <row r="354">
      <c r="AG354" s="14"/>
    </row>
    <row r="355">
      <c r="AG355" s="14"/>
    </row>
    <row r="356">
      <c r="AG356" s="14"/>
    </row>
    <row r="357">
      <c r="AG357" s="14"/>
    </row>
    <row r="358">
      <c r="AG358" s="14"/>
    </row>
    <row r="359">
      <c r="AG359" s="14"/>
    </row>
    <row r="360">
      <c r="AG360" s="14"/>
    </row>
    <row r="361">
      <c r="AG361" s="14"/>
    </row>
    <row r="362">
      <c r="AG362" s="14"/>
    </row>
    <row r="363">
      <c r="AG363" s="14"/>
    </row>
    <row r="364">
      <c r="AG364" s="14"/>
    </row>
    <row r="365">
      <c r="AG365" s="14"/>
    </row>
    <row r="366">
      <c r="AG366" s="14"/>
    </row>
    <row r="367">
      <c r="AG367" s="14"/>
    </row>
    <row r="368">
      <c r="AG368" s="14"/>
    </row>
    <row r="369">
      <c r="AG369" s="14"/>
    </row>
    <row r="370">
      <c r="AG370" s="14"/>
    </row>
    <row r="371">
      <c r="AG371" s="14"/>
    </row>
    <row r="372">
      <c r="AG372" s="14"/>
    </row>
    <row r="373">
      <c r="AG373" s="14"/>
    </row>
    <row r="374">
      <c r="AG374" s="14"/>
    </row>
    <row r="375">
      <c r="AG375" s="14"/>
    </row>
    <row r="376">
      <c r="AG376" s="14"/>
    </row>
    <row r="377">
      <c r="AG377" s="14"/>
    </row>
    <row r="378">
      <c r="AG378" s="14"/>
    </row>
    <row r="379">
      <c r="AG379" s="14"/>
    </row>
    <row r="380">
      <c r="AG380" s="14"/>
    </row>
    <row r="381">
      <c r="AG381" s="14"/>
    </row>
    <row r="382">
      <c r="AG382" s="14"/>
    </row>
    <row r="383">
      <c r="AG383" s="14"/>
    </row>
    <row r="384">
      <c r="AG384" s="14"/>
    </row>
    <row r="385">
      <c r="AG385" s="14"/>
    </row>
    <row r="386">
      <c r="AG386" s="14"/>
    </row>
    <row r="387">
      <c r="AG387" s="14"/>
    </row>
    <row r="388">
      <c r="AG388" s="14"/>
    </row>
    <row r="389">
      <c r="AG389" s="14"/>
    </row>
    <row r="390">
      <c r="AG390" s="14"/>
    </row>
    <row r="391">
      <c r="AG391" s="14"/>
    </row>
    <row r="392">
      <c r="AG392" s="14"/>
    </row>
    <row r="393">
      <c r="AG393" s="14"/>
    </row>
    <row r="394">
      <c r="AG394" s="14"/>
    </row>
    <row r="395">
      <c r="AG395" s="14"/>
    </row>
    <row r="396">
      <c r="AG396" s="14"/>
    </row>
    <row r="397">
      <c r="AG397" s="14"/>
    </row>
    <row r="398">
      <c r="AG398" s="14"/>
    </row>
    <row r="399">
      <c r="AG399" s="14"/>
    </row>
    <row r="400">
      <c r="AG400" s="14"/>
    </row>
    <row r="401">
      <c r="AG401" s="14"/>
    </row>
    <row r="402">
      <c r="AG402" s="14"/>
    </row>
    <row r="403">
      <c r="AG403" s="14"/>
    </row>
    <row r="404">
      <c r="AG404" s="14"/>
    </row>
    <row r="405">
      <c r="AG405" s="14"/>
    </row>
    <row r="406">
      <c r="AG406" s="14"/>
    </row>
    <row r="407">
      <c r="AG407" s="14"/>
    </row>
    <row r="408">
      <c r="AG408" s="14"/>
    </row>
    <row r="409">
      <c r="AG409" s="14"/>
    </row>
    <row r="410">
      <c r="AG410" s="14"/>
    </row>
    <row r="411">
      <c r="AG411" s="14"/>
    </row>
    <row r="412">
      <c r="AG412" s="14"/>
    </row>
    <row r="413">
      <c r="AG413" s="14"/>
    </row>
    <row r="414">
      <c r="AG414" s="14"/>
    </row>
    <row r="415">
      <c r="AG415" s="14"/>
    </row>
    <row r="416">
      <c r="AG416" s="14"/>
    </row>
    <row r="417">
      <c r="AG417" s="14"/>
    </row>
    <row r="418">
      <c r="AG418" s="14"/>
    </row>
    <row r="419">
      <c r="AG419" s="14"/>
    </row>
    <row r="420">
      <c r="AG420" s="14"/>
    </row>
    <row r="421">
      <c r="AG421" s="14"/>
    </row>
    <row r="422">
      <c r="AG422" s="14"/>
    </row>
    <row r="423">
      <c r="AG423" s="14"/>
    </row>
    <row r="424">
      <c r="AG424" s="14"/>
    </row>
    <row r="425">
      <c r="AG425" s="14"/>
    </row>
    <row r="426">
      <c r="AG426" s="14"/>
    </row>
    <row r="427">
      <c r="AG427" s="14"/>
    </row>
    <row r="428">
      <c r="AG428" s="14"/>
    </row>
    <row r="429">
      <c r="AG429" s="14"/>
    </row>
    <row r="430">
      <c r="AG430" s="14"/>
    </row>
    <row r="431">
      <c r="AG431" s="14"/>
    </row>
    <row r="432">
      <c r="AG432" s="14"/>
    </row>
    <row r="433">
      <c r="AG433" s="14"/>
    </row>
    <row r="434">
      <c r="AG434" s="14"/>
    </row>
    <row r="435">
      <c r="AG435" s="14"/>
    </row>
    <row r="436">
      <c r="AG436" s="14"/>
    </row>
    <row r="437">
      <c r="AG437" s="14"/>
    </row>
    <row r="438">
      <c r="AG438" s="14"/>
    </row>
    <row r="439">
      <c r="AG439" s="14"/>
    </row>
    <row r="440">
      <c r="AG440" s="14"/>
    </row>
    <row r="441">
      <c r="AG441" s="14"/>
    </row>
    <row r="442">
      <c r="AG442" s="14"/>
    </row>
    <row r="443">
      <c r="AG443" s="14"/>
    </row>
    <row r="444">
      <c r="AG444" s="14"/>
    </row>
    <row r="445">
      <c r="AG445" s="14"/>
    </row>
    <row r="446">
      <c r="AG446" s="14"/>
    </row>
    <row r="447">
      <c r="AG447" s="14"/>
    </row>
    <row r="448">
      <c r="AG448" s="14"/>
    </row>
    <row r="449">
      <c r="AG449" s="14"/>
    </row>
    <row r="450">
      <c r="AG450" s="14"/>
    </row>
    <row r="451">
      <c r="AG451" s="14"/>
    </row>
    <row r="452">
      <c r="AG452" s="14"/>
    </row>
    <row r="453">
      <c r="AG453" s="14"/>
    </row>
    <row r="454">
      <c r="AG454" s="14"/>
    </row>
    <row r="455">
      <c r="AG455" s="14"/>
    </row>
    <row r="456">
      <c r="AG456" s="14"/>
    </row>
    <row r="457">
      <c r="AG457" s="14"/>
    </row>
    <row r="458">
      <c r="AG458" s="14"/>
    </row>
    <row r="459">
      <c r="AG459" s="14"/>
    </row>
    <row r="460">
      <c r="AG460" s="14"/>
    </row>
    <row r="461">
      <c r="AG461" s="14"/>
    </row>
    <row r="462">
      <c r="AG462" s="14"/>
    </row>
    <row r="463">
      <c r="AG463" s="14"/>
    </row>
    <row r="464">
      <c r="AG464" s="14"/>
    </row>
    <row r="465">
      <c r="AG465" s="14"/>
    </row>
    <row r="466">
      <c r="AG466" s="14"/>
    </row>
    <row r="467">
      <c r="AG467" s="14"/>
    </row>
    <row r="468">
      <c r="AG468" s="14"/>
    </row>
    <row r="469">
      <c r="AG469" s="14"/>
    </row>
    <row r="470">
      <c r="AG470" s="14"/>
    </row>
    <row r="471">
      <c r="AG471" s="14"/>
    </row>
    <row r="472">
      <c r="AG472" s="14"/>
    </row>
    <row r="473">
      <c r="AG473" s="14"/>
    </row>
    <row r="474">
      <c r="AG474" s="14"/>
    </row>
    <row r="475">
      <c r="AG475" s="14"/>
    </row>
    <row r="476">
      <c r="AG476" s="14"/>
    </row>
    <row r="477">
      <c r="AG477" s="14"/>
    </row>
    <row r="478">
      <c r="AG478" s="14"/>
    </row>
    <row r="479">
      <c r="AG479" s="14"/>
    </row>
    <row r="480">
      <c r="AG480" s="14"/>
    </row>
    <row r="481">
      <c r="AG481" s="14"/>
    </row>
    <row r="482">
      <c r="AG482" s="14"/>
    </row>
    <row r="483">
      <c r="AG483" s="14"/>
    </row>
    <row r="484">
      <c r="AG484" s="14"/>
    </row>
    <row r="485">
      <c r="AG485" s="14"/>
    </row>
    <row r="486">
      <c r="AG486" s="14"/>
    </row>
    <row r="487">
      <c r="AG487" s="14"/>
    </row>
    <row r="488">
      <c r="AG488" s="14"/>
    </row>
    <row r="489">
      <c r="AG489" s="14"/>
    </row>
    <row r="490">
      <c r="AG490" s="14"/>
    </row>
    <row r="491">
      <c r="AG491" s="14"/>
    </row>
    <row r="492">
      <c r="AG492" s="14"/>
    </row>
    <row r="493">
      <c r="AG493" s="14"/>
    </row>
    <row r="494">
      <c r="AG494" s="14"/>
    </row>
    <row r="495">
      <c r="AG495" s="14"/>
    </row>
    <row r="496">
      <c r="AG496" s="14"/>
    </row>
    <row r="497">
      <c r="AG497" s="14"/>
    </row>
    <row r="498">
      <c r="AG498" s="14"/>
    </row>
    <row r="499">
      <c r="AG499" s="14"/>
    </row>
    <row r="500">
      <c r="AG500" s="14"/>
    </row>
    <row r="501">
      <c r="AG501" s="14"/>
    </row>
    <row r="502">
      <c r="AG502" s="14"/>
    </row>
    <row r="503">
      <c r="AG503" s="14"/>
    </row>
    <row r="504">
      <c r="AG504" s="14"/>
    </row>
    <row r="505">
      <c r="AG505" s="14"/>
    </row>
    <row r="506">
      <c r="AG506" s="14"/>
    </row>
    <row r="507">
      <c r="AG507" s="14"/>
    </row>
    <row r="508">
      <c r="AG508" s="14"/>
    </row>
    <row r="509">
      <c r="AG509" s="14"/>
    </row>
    <row r="510">
      <c r="AG510" s="14"/>
    </row>
    <row r="511">
      <c r="AG511" s="14"/>
    </row>
    <row r="512">
      <c r="AG512" s="14"/>
    </row>
    <row r="513">
      <c r="AG513" s="14"/>
    </row>
    <row r="514">
      <c r="AG514" s="14"/>
    </row>
    <row r="515">
      <c r="AG515" s="14"/>
    </row>
    <row r="516">
      <c r="AG516" s="14"/>
    </row>
    <row r="517">
      <c r="AG517" s="14"/>
    </row>
    <row r="518">
      <c r="AG518" s="14"/>
    </row>
    <row r="519">
      <c r="AG519" s="14"/>
    </row>
    <row r="520">
      <c r="AG520" s="14"/>
    </row>
    <row r="521">
      <c r="AG521" s="14"/>
    </row>
    <row r="522">
      <c r="AG522" s="14"/>
    </row>
    <row r="523">
      <c r="AG523" s="14"/>
    </row>
    <row r="524">
      <c r="AG524" s="14"/>
    </row>
    <row r="525">
      <c r="AG525" s="14"/>
    </row>
    <row r="526">
      <c r="AG526" s="14"/>
    </row>
    <row r="527">
      <c r="AG527" s="14"/>
    </row>
    <row r="528">
      <c r="AG528" s="14"/>
    </row>
    <row r="529">
      <c r="AG529" s="14"/>
    </row>
    <row r="530">
      <c r="AG530" s="14"/>
    </row>
    <row r="531">
      <c r="AG531" s="14"/>
    </row>
    <row r="532">
      <c r="AG532" s="14"/>
    </row>
    <row r="533">
      <c r="AG533" s="14"/>
    </row>
    <row r="534">
      <c r="AG534" s="14"/>
    </row>
    <row r="535">
      <c r="AG535" s="14"/>
    </row>
    <row r="536">
      <c r="AG536" s="14"/>
    </row>
    <row r="537">
      <c r="AG537" s="14"/>
    </row>
    <row r="538">
      <c r="AG538" s="14"/>
    </row>
    <row r="539">
      <c r="AG539" s="14"/>
    </row>
    <row r="540">
      <c r="AG540" s="14"/>
    </row>
    <row r="541">
      <c r="AG541" s="14"/>
    </row>
    <row r="542">
      <c r="AG542" s="14"/>
    </row>
    <row r="543">
      <c r="AG543" s="14"/>
    </row>
    <row r="544">
      <c r="AG544" s="14"/>
    </row>
    <row r="545">
      <c r="AG545" s="14"/>
    </row>
    <row r="546">
      <c r="AG546" s="14"/>
    </row>
    <row r="547">
      <c r="AG547" s="14"/>
    </row>
    <row r="548">
      <c r="AG548" s="14"/>
    </row>
    <row r="549">
      <c r="AG549" s="14"/>
    </row>
    <row r="550">
      <c r="AG550" s="14"/>
    </row>
    <row r="551">
      <c r="AG551" s="14"/>
    </row>
    <row r="552">
      <c r="AG552" s="14"/>
    </row>
    <row r="553">
      <c r="AG553" s="14"/>
    </row>
    <row r="554">
      <c r="AG554" s="14"/>
    </row>
    <row r="555">
      <c r="AG555" s="14"/>
    </row>
    <row r="556">
      <c r="AG556" s="14"/>
    </row>
    <row r="557">
      <c r="AG557" s="14"/>
    </row>
    <row r="558">
      <c r="AG558" s="14"/>
    </row>
    <row r="559">
      <c r="AG559" s="14"/>
    </row>
    <row r="560">
      <c r="AG560" s="14"/>
    </row>
    <row r="561">
      <c r="AG561" s="14"/>
    </row>
    <row r="562">
      <c r="AG562" s="14"/>
    </row>
    <row r="563">
      <c r="AG563" s="14"/>
    </row>
    <row r="564">
      <c r="AG564" s="14"/>
    </row>
    <row r="565">
      <c r="AG565" s="14"/>
    </row>
    <row r="566">
      <c r="AG566" s="14"/>
    </row>
    <row r="567">
      <c r="AG567" s="14"/>
    </row>
    <row r="568">
      <c r="AG568" s="14"/>
    </row>
    <row r="569">
      <c r="AG569" s="14"/>
    </row>
    <row r="570">
      <c r="AG570" s="14"/>
    </row>
    <row r="571">
      <c r="AG571" s="14"/>
    </row>
    <row r="572">
      <c r="AG572" s="14"/>
    </row>
    <row r="573">
      <c r="AG573" s="14"/>
    </row>
    <row r="574">
      <c r="AG574" s="14"/>
    </row>
    <row r="575">
      <c r="AG575" s="14"/>
    </row>
    <row r="576">
      <c r="AG576" s="14"/>
    </row>
    <row r="577">
      <c r="AG577" s="14"/>
    </row>
    <row r="578">
      <c r="AG578" s="14"/>
    </row>
    <row r="579">
      <c r="AG579" s="14"/>
    </row>
    <row r="580">
      <c r="AG580" s="14"/>
    </row>
    <row r="581">
      <c r="AG581" s="14"/>
    </row>
    <row r="582">
      <c r="AG582" s="14"/>
    </row>
    <row r="583">
      <c r="AG583" s="14"/>
    </row>
    <row r="584">
      <c r="AG584" s="14"/>
    </row>
    <row r="585">
      <c r="AG585" s="14"/>
    </row>
    <row r="586">
      <c r="AG586" s="14"/>
    </row>
    <row r="587">
      <c r="AG587" s="14"/>
    </row>
    <row r="588">
      <c r="AG588" s="14"/>
    </row>
    <row r="589">
      <c r="AG589" s="14"/>
    </row>
    <row r="590">
      <c r="AG590" s="14"/>
    </row>
    <row r="591">
      <c r="AG591" s="14"/>
    </row>
    <row r="592">
      <c r="AG592" s="14"/>
    </row>
    <row r="593">
      <c r="AG593" s="14"/>
    </row>
    <row r="594">
      <c r="AG594" s="14"/>
    </row>
    <row r="595">
      <c r="AG595" s="14"/>
    </row>
    <row r="596">
      <c r="AG596" s="14"/>
    </row>
    <row r="597">
      <c r="AG597" s="14"/>
    </row>
    <row r="598">
      <c r="AG598" s="14"/>
    </row>
    <row r="599">
      <c r="AG599" s="14"/>
    </row>
    <row r="600">
      <c r="AG600" s="14"/>
    </row>
    <row r="601">
      <c r="AG601" s="14"/>
    </row>
    <row r="602">
      <c r="AG602" s="14"/>
    </row>
    <row r="603">
      <c r="AG603" s="14"/>
    </row>
    <row r="604">
      <c r="AG604" s="14"/>
    </row>
    <row r="605">
      <c r="AG605" s="14"/>
    </row>
    <row r="606">
      <c r="AG606" s="14"/>
    </row>
    <row r="607">
      <c r="AG607" s="14"/>
    </row>
    <row r="608">
      <c r="AG608" s="14"/>
    </row>
    <row r="609">
      <c r="AG609" s="14"/>
    </row>
    <row r="610">
      <c r="AG610" s="14"/>
    </row>
    <row r="611">
      <c r="AG611" s="14"/>
    </row>
    <row r="612">
      <c r="AG612" s="14"/>
    </row>
    <row r="613">
      <c r="AG613" s="14"/>
    </row>
    <row r="614">
      <c r="AG614" s="14"/>
    </row>
    <row r="615">
      <c r="AG615" s="14"/>
    </row>
    <row r="616">
      <c r="AG616" s="14"/>
    </row>
    <row r="617">
      <c r="AG617" s="14"/>
    </row>
    <row r="618">
      <c r="AG618" s="14"/>
    </row>
    <row r="619">
      <c r="AG619" s="14"/>
    </row>
    <row r="620">
      <c r="AG620" s="14"/>
    </row>
    <row r="621">
      <c r="AG621" s="14"/>
    </row>
    <row r="622">
      <c r="AG622" s="14"/>
    </row>
    <row r="623">
      <c r="AG623" s="14"/>
    </row>
    <row r="624">
      <c r="AG624" s="14"/>
    </row>
    <row r="625">
      <c r="AG625" s="14"/>
    </row>
    <row r="626">
      <c r="AG626" s="14"/>
    </row>
    <row r="627">
      <c r="AG627" s="14"/>
    </row>
    <row r="628">
      <c r="AG628" s="14"/>
    </row>
    <row r="629">
      <c r="AG629" s="14"/>
    </row>
    <row r="630">
      <c r="AG630" s="14"/>
    </row>
    <row r="631">
      <c r="AG631" s="14"/>
    </row>
    <row r="632">
      <c r="AG632" s="14"/>
    </row>
    <row r="633">
      <c r="AG633" s="14"/>
    </row>
    <row r="634">
      <c r="AG634" s="14"/>
    </row>
    <row r="635">
      <c r="AG635" s="14"/>
    </row>
    <row r="636">
      <c r="AG636" s="14"/>
    </row>
    <row r="637">
      <c r="AG637" s="14"/>
    </row>
    <row r="638">
      <c r="AG638" s="14"/>
    </row>
    <row r="639">
      <c r="AG639" s="14"/>
    </row>
    <row r="640">
      <c r="AG640" s="14"/>
    </row>
    <row r="641">
      <c r="AG641" s="14"/>
    </row>
    <row r="642">
      <c r="AG642" s="14"/>
    </row>
    <row r="643">
      <c r="AG643" s="14"/>
    </row>
    <row r="644">
      <c r="AG644" s="14"/>
    </row>
    <row r="645">
      <c r="AG645" s="14"/>
    </row>
    <row r="646">
      <c r="AG646" s="14"/>
    </row>
    <row r="647">
      <c r="AG647" s="14"/>
    </row>
    <row r="648">
      <c r="AG648" s="14"/>
    </row>
    <row r="649">
      <c r="AG649" s="14"/>
    </row>
    <row r="650">
      <c r="AG650" s="14"/>
    </row>
    <row r="651">
      <c r="AG651" s="14"/>
    </row>
    <row r="652">
      <c r="AG652" s="14"/>
    </row>
    <row r="653">
      <c r="AG653" s="14"/>
    </row>
    <row r="654">
      <c r="AG654" s="14"/>
    </row>
    <row r="655">
      <c r="AG655" s="14"/>
    </row>
    <row r="656">
      <c r="AG656" s="14"/>
    </row>
    <row r="657">
      <c r="AG657" s="14"/>
    </row>
    <row r="658">
      <c r="AG658" s="14"/>
    </row>
    <row r="659">
      <c r="AG659" s="14"/>
    </row>
    <row r="660">
      <c r="AG660" s="14"/>
    </row>
    <row r="661">
      <c r="AG661" s="14"/>
    </row>
    <row r="662">
      <c r="AG662" s="14"/>
    </row>
    <row r="663">
      <c r="AG663" s="14"/>
    </row>
    <row r="664">
      <c r="AG664" s="14"/>
    </row>
    <row r="665">
      <c r="AG665" s="14"/>
    </row>
    <row r="666">
      <c r="AG666" s="14"/>
    </row>
    <row r="667">
      <c r="AG667" s="14"/>
    </row>
    <row r="668">
      <c r="AG668" s="14"/>
    </row>
    <row r="669">
      <c r="AG669" s="14"/>
    </row>
    <row r="670">
      <c r="AG670" s="14"/>
    </row>
    <row r="671">
      <c r="AG671" s="14"/>
    </row>
    <row r="672">
      <c r="AG672" s="14"/>
    </row>
    <row r="673">
      <c r="AG673" s="14"/>
    </row>
    <row r="674">
      <c r="AG674" s="14"/>
    </row>
    <row r="675">
      <c r="AG675" s="14"/>
    </row>
    <row r="676">
      <c r="AG676" s="14"/>
    </row>
    <row r="677">
      <c r="AG677" s="14"/>
    </row>
    <row r="678">
      <c r="AG678" s="14"/>
    </row>
    <row r="679">
      <c r="AG679" s="14"/>
    </row>
    <row r="680">
      <c r="AG680" s="14"/>
    </row>
    <row r="681">
      <c r="AG681" s="14"/>
    </row>
    <row r="682">
      <c r="AG682" s="14"/>
    </row>
    <row r="683">
      <c r="AG683" s="14"/>
    </row>
    <row r="684">
      <c r="AG684" s="14"/>
    </row>
    <row r="685">
      <c r="AG685" s="14"/>
    </row>
    <row r="686">
      <c r="AG686" s="14"/>
    </row>
    <row r="687">
      <c r="AG687" s="14"/>
    </row>
    <row r="688">
      <c r="AG688" s="14"/>
    </row>
    <row r="689">
      <c r="AG689" s="14"/>
    </row>
    <row r="690">
      <c r="AG690" s="14"/>
    </row>
    <row r="691">
      <c r="AG691" s="14"/>
    </row>
    <row r="692">
      <c r="AG692" s="14"/>
    </row>
    <row r="693">
      <c r="AG693" s="14"/>
    </row>
    <row r="694">
      <c r="AG694" s="14"/>
    </row>
    <row r="695">
      <c r="AG695" s="14"/>
    </row>
    <row r="696">
      <c r="AG696" s="14"/>
    </row>
    <row r="697">
      <c r="AG697" s="14"/>
    </row>
    <row r="698">
      <c r="AG698" s="14"/>
    </row>
    <row r="699">
      <c r="AG699" s="14"/>
    </row>
    <row r="700">
      <c r="AG700" s="14"/>
    </row>
    <row r="701">
      <c r="AG701" s="14"/>
    </row>
    <row r="702">
      <c r="AG702" s="14"/>
    </row>
    <row r="703">
      <c r="AG703" s="14"/>
    </row>
    <row r="704">
      <c r="AG704" s="14"/>
    </row>
    <row r="705">
      <c r="AG705" s="14"/>
    </row>
    <row r="706">
      <c r="AG706" s="14"/>
    </row>
    <row r="707">
      <c r="AG707" s="14"/>
    </row>
    <row r="708">
      <c r="AG708" s="14"/>
    </row>
    <row r="709">
      <c r="AG709" s="14"/>
    </row>
    <row r="710">
      <c r="AG710" s="14"/>
    </row>
    <row r="711">
      <c r="AG711" s="14"/>
    </row>
    <row r="712">
      <c r="AG712" s="14"/>
    </row>
    <row r="713">
      <c r="AG713" s="14"/>
    </row>
    <row r="714">
      <c r="AG714" s="14"/>
    </row>
    <row r="715">
      <c r="AG715" s="14"/>
    </row>
    <row r="716">
      <c r="AG716" s="14"/>
    </row>
    <row r="717">
      <c r="AG717" s="14"/>
    </row>
    <row r="718">
      <c r="AG718" s="14"/>
    </row>
    <row r="719">
      <c r="AG719" s="14"/>
    </row>
    <row r="720">
      <c r="AG720" s="14"/>
    </row>
    <row r="721">
      <c r="AG721" s="14"/>
    </row>
    <row r="722">
      <c r="AG722" s="14"/>
    </row>
    <row r="723">
      <c r="AG723" s="14"/>
    </row>
    <row r="724">
      <c r="AG724" s="14"/>
    </row>
    <row r="725">
      <c r="AG725" s="14"/>
    </row>
    <row r="726">
      <c r="AG726" s="14"/>
    </row>
    <row r="727">
      <c r="AG727" s="14"/>
    </row>
    <row r="728">
      <c r="AG728" s="14"/>
    </row>
    <row r="729">
      <c r="AG729" s="14"/>
    </row>
    <row r="730">
      <c r="AG730" s="14"/>
    </row>
    <row r="731">
      <c r="AG731" s="14"/>
    </row>
    <row r="732">
      <c r="AG732" s="14"/>
    </row>
    <row r="733">
      <c r="AG733" s="14"/>
    </row>
    <row r="734">
      <c r="AG734" s="14"/>
    </row>
    <row r="735">
      <c r="AG735" s="14"/>
    </row>
    <row r="736">
      <c r="AG736" s="14"/>
    </row>
    <row r="737">
      <c r="AG737" s="14"/>
    </row>
    <row r="738">
      <c r="AG738" s="14"/>
    </row>
    <row r="739">
      <c r="AG739" s="14"/>
    </row>
    <row r="740">
      <c r="AG740" s="14"/>
    </row>
    <row r="741">
      <c r="AG741" s="14"/>
    </row>
    <row r="742">
      <c r="AG742" s="14"/>
    </row>
    <row r="743">
      <c r="AG743" s="14"/>
    </row>
    <row r="744">
      <c r="AG744" s="14"/>
    </row>
    <row r="745">
      <c r="AG745" s="14"/>
    </row>
    <row r="746">
      <c r="AG746" s="14"/>
    </row>
    <row r="747">
      <c r="AG747" s="14"/>
    </row>
    <row r="748">
      <c r="AG748" s="14"/>
    </row>
    <row r="749">
      <c r="AG749" s="14"/>
    </row>
    <row r="750">
      <c r="AG750" s="14"/>
    </row>
    <row r="751">
      <c r="AG751" s="14"/>
    </row>
    <row r="752">
      <c r="AG752" s="14"/>
    </row>
    <row r="753">
      <c r="AG753" s="14"/>
    </row>
    <row r="754">
      <c r="AG754" s="14"/>
    </row>
    <row r="755">
      <c r="AG755" s="14"/>
    </row>
    <row r="756">
      <c r="AG756" s="14"/>
    </row>
    <row r="757">
      <c r="AG757" s="14"/>
    </row>
    <row r="758">
      <c r="AG758" s="14"/>
    </row>
    <row r="759">
      <c r="AG759" s="14"/>
    </row>
    <row r="760">
      <c r="AG760" s="14"/>
    </row>
    <row r="761">
      <c r="AG761" s="14"/>
    </row>
    <row r="762">
      <c r="AG762" s="14"/>
    </row>
    <row r="763">
      <c r="AG763" s="14"/>
    </row>
    <row r="764">
      <c r="AG764" s="14"/>
    </row>
    <row r="765">
      <c r="AG765" s="14"/>
    </row>
    <row r="766">
      <c r="AG766" s="14"/>
    </row>
    <row r="767">
      <c r="AG767" s="14"/>
    </row>
    <row r="768">
      <c r="AG768" s="14"/>
    </row>
    <row r="769">
      <c r="AG769" s="14"/>
    </row>
    <row r="770">
      <c r="AG770" s="14"/>
    </row>
    <row r="771">
      <c r="AG771" s="14"/>
    </row>
    <row r="772">
      <c r="AG772" s="14"/>
    </row>
    <row r="773">
      <c r="AG773" s="14"/>
    </row>
    <row r="774">
      <c r="AG774" s="14"/>
    </row>
    <row r="775">
      <c r="AG775" s="14"/>
    </row>
    <row r="776">
      <c r="AG776" s="14"/>
    </row>
    <row r="777">
      <c r="AG777" s="14"/>
    </row>
    <row r="778">
      <c r="AG778" s="14"/>
    </row>
    <row r="779">
      <c r="AG779" s="14"/>
    </row>
    <row r="780">
      <c r="AG780" s="14"/>
    </row>
    <row r="781">
      <c r="AG781" s="14"/>
    </row>
    <row r="782">
      <c r="AG782" s="14"/>
    </row>
    <row r="783">
      <c r="AG783" s="14"/>
    </row>
    <row r="784">
      <c r="AG784" s="14"/>
    </row>
    <row r="785">
      <c r="AG785" s="14"/>
    </row>
    <row r="786">
      <c r="AG786" s="14"/>
    </row>
    <row r="787">
      <c r="AG787" s="14"/>
    </row>
    <row r="788">
      <c r="AG788" s="14"/>
    </row>
    <row r="789">
      <c r="AG789" s="14"/>
    </row>
    <row r="790">
      <c r="AG790" s="14"/>
    </row>
    <row r="791">
      <c r="AG791" s="14"/>
    </row>
    <row r="792">
      <c r="AG792" s="14"/>
    </row>
    <row r="793">
      <c r="AG793" s="14"/>
    </row>
    <row r="794">
      <c r="AG794" s="14"/>
    </row>
    <row r="795">
      <c r="AG795" s="14"/>
    </row>
    <row r="796">
      <c r="AG796" s="14"/>
    </row>
    <row r="797">
      <c r="AG797" s="14"/>
    </row>
    <row r="798">
      <c r="AG798" s="14"/>
    </row>
    <row r="799">
      <c r="AG799" s="14"/>
    </row>
    <row r="800">
      <c r="AG800" s="14"/>
    </row>
    <row r="801">
      <c r="AG801" s="14"/>
    </row>
    <row r="802">
      <c r="AG802" s="14"/>
    </row>
    <row r="803">
      <c r="AG803" s="14"/>
    </row>
    <row r="804">
      <c r="AG804" s="14"/>
    </row>
    <row r="805">
      <c r="AG805" s="14"/>
    </row>
    <row r="806">
      <c r="AG806" s="14"/>
    </row>
    <row r="807">
      <c r="AG807" s="14"/>
    </row>
    <row r="808">
      <c r="AG808" s="14"/>
    </row>
    <row r="809">
      <c r="AG809" s="14"/>
    </row>
    <row r="810">
      <c r="AG810" s="14"/>
    </row>
    <row r="811">
      <c r="AG811" s="14"/>
    </row>
    <row r="812">
      <c r="AG812" s="14"/>
    </row>
    <row r="813">
      <c r="AG813" s="14"/>
    </row>
    <row r="814">
      <c r="AG814" s="14"/>
    </row>
    <row r="815">
      <c r="AG815" s="14"/>
    </row>
    <row r="816">
      <c r="AG816" s="14"/>
    </row>
    <row r="817">
      <c r="AG817" s="14"/>
    </row>
    <row r="818">
      <c r="AG818" s="14"/>
    </row>
    <row r="819">
      <c r="AG819" s="14"/>
    </row>
    <row r="820">
      <c r="AG820" s="14"/>
    </row>
    <row r="821">
      <c r="AG821" s="14"/>
    </row>
    <row r="822">
      <c r="AG822" s="14"/>
    </row>
    <row r="823">
      <c r="AG823" s="14"/>
    </row>
    <row r="824">
      <c r="AG824" s="14"/>
    </row>
    <row r="825">
      <c r="AG825" s="14"/>
    </row>
    <row r="826">
      <c r="AG826" s="14"/>
    </row>
    <row r="827">
      <c r="AG827" s="14"/>
    </row>
    <row r="828">
      <c r="AG828" s="14"/>
    </row>
    <row r="829">
      <c r="AG829" s="14"/>
    </row>
    <row r="830">
      <c r="AG830" s="14"/>
    </row>
    <row r="831">
      <c r="AG831" s="14"/>
    </row>
    <row r="832">
      <c r="AG832" s="14"/>
    </row>
    <row r="833">
      <c r="AG833" s="14"/>
    </row>
    <row r="834">
      <c r="AG834" s="14"/>
    </row>
    <row r="835">
      <c r="AG835" s="14"/>
    </row>
    <row r="836">
      <c r="AG836" s="14"/>
    </row>
    <row r="837">
      <c r="AG837" s="14"/>
    </row>
    <row r="838">
      <c r="AG838" s="14"/>
    </row>
    <row r="839">
      <c r="AG839" s="14"/>
    </row>
    <row r="840">
      <c r="AG840" s="14"/>
    </row>
    <row r="841">
      <c r="AG841" s="14"/>
    </row>
    <row r="842">
      <c r="AG842" s="14"/>
    </row>
    <row r="843">
      <c r="AG843" s="14"/>
    </row>
    <row r="844">
      <c r="AG844" s="14"/>
    </row>
    <row r="845">
      <c r="AG845" s="14"/>
    </row>
    <row r="846">
      <c r="AG846" s="14"/>
    </row>
    <row r="847">
      <c r="AG847" s="14"/>
    </row>
    <row r="848">
      <c r="AG848" s="14"/>
    </row>
    <row r="849">
      <c r="AG849" s="14"/>
    </row>
    <row r="850">
      <c r="AG850" s="14"/>
    </row>
    <row r="851">
      <c r="AG851" s="14"/>
    </row>
    <row r="852">
      <c r="AG852" s="14"/>
    </row>
    <row r="853">
      <c r="AG853" s="14"/>
    </row>
    <row r="854">
      <c r="AG854" s="14"/>
    </row>
    <row r="855">
      <c r="AG855" s="14"/>
    </row>
    <row r="856">
      <c r="AG856" s="14"/>
    </row>
    <row r="857">
      <c r="AG857" s="14"/>
    </row>
    <row r="858">
      <c r="AG858" s="14"/>
    </row>
    <row r="859">
      <c r="AG859" s="14"/>
    </row>
    <row r="860">
      <c r="AG860" s="14"/>
    </row>
    <row r="861">
      <c r="AG861" s="14"/>
    </row>
    <row r="862">
      <c r="AG862" s="14"/>
    </row>
    <row r="863">
      <c r="AG863" s="14"/>
    </row>
    <row r="864">
      <c r="AG864" s="14"/>
    </row>
    <row r="865">
      <c r="AG865" s="14"/>
    </row>
    <row r="866">
      <c r="AG866" s="14"/>
    </row>
    <row r="867">
      <c r="AG867" s="14"/>
    </row>
    <row r="868">
      <c r="AG868" s="14"/>
    </row>
    <row r="869">
      <c r="AG869" s="14"/>
    </row>
    <row r="870">
      <c r="AG870" s="14"/>
    </row>
    <row r="871">
      <c r="AG871" s="14"/>
    </row>
    <row r="872">
      <c r="AG872" s="14"/>
    </row>
    <row r="873">
      <c r="AG873" s="14"/>
    </row>
    <row r="874">
      <c r="AG874" s="14"/>
    </row>
    <row r="875">
      <c r="AG875" s="14"/>
    </row>
    <row r="876">
      <c r="AG876" s="14"/>
    </row>
    <row r="877">
      <c r="AG877" s="14"/>
    </row>
    <row r="878">
      <c r="AG878" s="14"/>
    </row>
    <row r="879">
      <c r="AG879" s="14"/>
    </row>
    <row r="880">
      <c r="AG880" s="14"/>
    </row>
    <row r="881">
      <c r="AG881" s="14"/>
    </row>
    <row r="882">
      <c r="AG882" s="14"/>
    </row>
    <row r="883">
      <c r="AG883" s="14"/>
    </row>
    <row r="884">
      <c r="AG884" s="14"/>
    </row>
    <row r="885">
      <c r="AG885" s="14"/>
    </row>
    <row r="886">
      <c r="AG886" s="14"/>
    </row>
    <row r="887">
      <c r="AG887" s="14"/>
    </row>
    <row r="888">
      <c r="AG888" s="14"/>
    </row>
    <row r="889">
      <c r="AG889" s="14"/>
    </row>
    <row r="890">
      <c r="AG890" s="14"/>
    </row>
    <row r="891">
      <c r="AG891" s="14"/>
    </row>
    <row r="892">
      <c r="AG892" s="14"/>
    </row>
    <row r="893">
      <c r="AG893" s="14"/>
    </row>
    <row r="894">
      <c r="AG894" s="14"/>
    </row>
    <row r="895">
      <c r="AG895" s="14"/>
    </row>
    <row r="896">
      <c r="AG896" s="14"/>
    </row>
    <row r="897">
      <c r="AG897" s="14"/>
    </row>
    <row r="898">
      <c r="AG898" s="14"/>
    </row>
    <row r="899">
      <c r="AG899" s="14"/>
    </row>
    <row r="900">
      <c r="AG900" s="14"/>
    </row>
    <row r="901">
      <c r="AG901" s="14"/>
    </row>
    <row r="902">
      <c r="AG902" s="14"/>
    </row>
    <row r="903">
      <c r="AG903" s="14"/>
    </row>
    <row r="904">
      <c r="AG904" s="14"/>
    </row>
    <row r="905">
      <c r="AG905" s="14"/>
    </row>
    <row r="906">
      <c r="AG906" s="14"/>
    </row>
    <row r="907">
      <c r="AG907" s="14"/>
    </row>
    <row r="908">
      <c r="AG908" s="14"/>
    </row>
    <row r="909">
      <c r="AG909" s="14"/>
    </row>
    <row r="910">
      <c r="AG910" s="14"/>
    </row>
    <row r="911">
      <c r="AG911" s="14"/>
    </row>
    <row r="912">
      <c r="AG912" s="14"/>
    </row>
    <row r="913">
      <c r="AG913" s="14"/>
    </row>
    <row r="914">
      <c r="AG914" s="14"/>
    </row>
    <row r="915">
      <c r="AG915" s="14"/>
    </row>
    <row r="916">
      <c r="AG916" s="14"/>
    </row>
    <row r="917">
      <c r="AG917" s="14"/>
    </row>
    <row r="918">
      <c r="AG918" s="14"/>
    </row>
    <row r="919">
      <c r="AG919" s="14"/>
    </row>
    <row r="920">
      <c r="AG920" s="14"/>
    </row>
    <row r="921">
      <c r="AG921" s="14"/>
    </row>
    <row r="922">
      <c r="AG922" s="14"/>
    </row>
    <row r="923">
      <c r="AG923" s="14"/>
    </row>
    <row r="924">
      <c r="AG924" s="14"/>
    </row>
    <row r="925">
      <c r="AG925" s="14"/>
    </row>
    <row r="926">
      <c r="AG926" s="14"/>
    </row>
    <row r="927">
      <c r="AG927" s="14"/>
    </row>
    <row r="928">
      <c r="AG928" s="14"/>
    </row>
    <row r="929">
      <c r="AG929" s="14"/>
    </row>
    <row r="930">
      <c r="AG930" s="14"/>
    </row>
    <row r="931">
      <c r="AG931" s="14"/>
    </row>
    <row r="932">
      <c r="AG932" s="14"/>
    </row>
    <row r="933">
      <c r="AG933" s="14"/>
    </row>
    <row r="934">
      <c r="AG934" s="14"/>
    </row>
    <row r="935">
      <c r="AG935" s="14"/>
    </row>
    <row r="936">
      <c r="AG936" s="14"/>
    </row>
    <row r="937">
      <c r="AG937" s="14"/>
    </row>
    <row r="938">
      <c r="AG938" s="14"/>
    </row>
    <row r="939">
      <c r="AG939" s="14"/>
    </row>
    <row r="940">
      <c r="AG940" s="14"/>
    </row>
    <row r="941">
      <c r="AG941" s="14"/>
    </row>
    <row r="942">
      <c r="AG942" s="14"/>
    </row>
    <row r="943">
      <c r="AG943" s="14"/>
    </row>
    <row r="944">
      <c r="AG944" s="14"/>
    </row>
    <row r="945">
      <c r="AG945" s="14"/>
    </row>
    <row r="946">
      <c r="AG946" s="14"/>
    </row>
    <row r="947">
      <c r="AG947" s="14"/>
    </row>
    <row r="948">
      <c r="AG948" s="14"/>
    </row>
    <row r="949">
      <c r="AG949" s="14"/>
    </row>
    <row r="950">
      <c r="AG950" s="14"/>
    </row>
    <row r="951">
      <c r="AG951" s="14"/>
    </row>
    <row r="952">
      <c r="AG952" s="14"/>
    </row>
    <row r="953">
      <c r="AG953" s="14"/>
    </row>
    <row r="954">
      <c r="AG954" s="14"/>
    </row>
    <row r="955">
      <c r="AG955" s="14"/>
    </row>
    <row r="956">
      <c r="AG956" s="14"/>
    </row>
    <row r="957">
      <c r="AG957" s="14"/>
    </row>
    <row r="958">
      <c r="AG958" s="14"/>
    </row>
    <row r="959">
      <c r="AG959" s="14"/>
    </row>
    <row r="960">
      <c r="AG960" s="14"/>
    </row>
    <row r="961">
      <c r="AG961" s="14"/>
    </row>
    <row r="962">
      <c r="AG962" s="14"/>
    </row>
    <row r="963">
      <c r="AG963" s="14"/>
    </row>
    <row r="964">
      <c r="AG964" s="14"/>
    </row>
    <row r="965">
      <c r="AG965" s="14"/>
    </row>
    <row r="966">
      <c r="AG966" s="14"/>
    </row>
    <row r="967">
      <c r="AG967" s="14"/>
    </row>
    <row r="968">
      <c r="AG968" s="14"/>
    </row>
    <row r="969">
      <c r="AG969" s="14"/>
    </row>
    <row r="970">
      <c r="AG970" s="14"/>
    </row>
    <row r="971">
      <c r="AG971" s="14"/>
    </row>
    <row r="972">
      <c r="AG972" s="14"/>
    </row>
    <row r="973">
      <c r="AG973" s="14"/>
    </row>
    <row r="974">
      <c r="AG974" s="14"/>
    </row>
    <row r="975">
      <c r="AG975" s="14"/>
    </row>
    <row r="976">
      <c r="AG976" s="14"/>
    </row>
    <row r="977">
      <c r="AG977" s="14"/>
    </row>
    <row r="978">
      <c r="AG978" s="14"/>
    </row>
    <row r="979">
      <c r="AG979" s="14"/>
    </row>
    <row r="980">
      <c r="AG980" s="14"/>
    </row>
    <row r="981">
      <c r="AG981" s="14"/>
    </row>
    <row r="982">
      <c r="AG982" s="14"/>
    </row>
    <row r="983">
      <c r="AG983" s="14"/>
    </row>
    <row r="984">
      <c r="AG984" s="14"/>
    </row>
    <row r="985">
      <c r="AG985" s="14"/>
    </row>
    <row r="986">
      <c r="AG986" s="14"/>
    </row>
    <row r="987">
      <c r="AG987" s="14"/>
    </row>
    <row r="988">
      <c r="AG988" s="14"/>
    </row>
    <row r="989">
      <c r="AG989" s="14"/>
    </row>
    <row r="990">
      <c r="AG990" s="14"/>
    </row>
    <row r="991">
      <c r="AG991" s="14"/>
    </row>
    <row r="992">
      <c r="AG992" s="14"/>
    </row>
    <row r="993">
      <c r="AG993" s="14"/>
    </row>
    <row r="994">
      <c r="AG994" s="14"/>
    </row>
    <row r="995">
      <c r="AG995" s="14"/>
    </row>
    <row r="996">
      <c r="AG996" s="14"/>
    </row>
    <row r="997">
      <c r="AG997" s="14"/>
    </row>
    <row r="998">
      <c r="AG998" s="14"/>
    </row>
    <row r="999">
      <c r="AG999" s="14"/>
    </row>
    <row r="1000">
      <c r="AG1000" s="14"/>
    </row>
    <row r="1001">
      <c r="AG1001" s="14"/>
    </row>
    <row r="1002">
      <c r="AG1002" s="14"/>
    </row>
  </sheetData>
  <mergeCells count="3">
    <mergeCell ref="N1:S1"/>
    <mergeCell ref="Y1:Z1"/>
    <mergeCell ref="AF1:A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14.75"/>
    <col customWidth="1" min="8" max="8" width="16.63"/>
  </cols>
  <sheetData>
    <row r="1">
      <c r="A1" s="27" t="s">
        <v>38</v>
      </c>
      <c r="B1" s="27" t="s">
        <v>39</v>
      </c>
      <c r="C1" s="27" t="s">
        <v>40</v>
      </c>
      <c r="D1" s="28" t="s">
        <v>41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19" t="s">
        <v>7</v>
      </c>
      <c r="B2" s="30"/>
      <c r="C2" s="30">
        <f>SUM('2023 Yield'!E:E)</f>
        <v>14990.50573</v>
      </c>
      <c r="D2" s="31">
        <f t="shared" ref="D2:D24" si="1">C2/$I$4</f>
        <v>33.04785214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32" t="s">
        <v>42</v>
      </c>
      <c r="B3" s="19" t="s">
        <v>43</v>
      </c>
      <c r="C3" s="33">
        <f>SUM('2023 Yield'!N:N)</f>
        <v>3896.290123</v>
      </c>
      <c r="D3" s="34">
        <f t="shared" si="1"/>
        <v>8.589704858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B4" s="19" t="s">
        <v>17</v>
      </c>
      <c r="C4" s="33">
        <f>SUM('2023 Yield'!O:O)</f>
        <v>1519.67328</v>
      </c>
      <c r="D4" s="34">
        <f t="shared" si="1"/>
        <v>3.350249736</v>
      </c>
      <c r="E4" s="30"/>
      <c r="F4" s="30"/>
      <c r="G4" s="30"/>
      <c r="H4" s="27" t="s">
        <v>44</v>
      </c>
      <c r="I4" s="19">
        <v>453.6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B5" s="19" t="s">
        <v>21</v>
      </c>
      <c r="C5" s="35">
        <f>SUM('2023 Yield'!S:S)</f>
        <v>7266.000441</v>
      </c>
      <c r="D5" s="34">
        <f t="shared" si="1"/>
        <v>16.01851949</v>
      </c>
      <c r="E5" s="34">
        <f>SUM(D3:D7)</f>
        <v>55.31663992</v>
      </c>
      <c r="F5" s="30"/>
      <c r="G5" s="30"/>
      <c r="H5" s="36" t="s">
        <v>45</v>
      </c>
      <c r="I5" s="25">
        <v>1000.0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B6" s="19" t="s">
        <v>20</v>
      </c>
      <c r="C6" s="33">
        <f>SUM('2023 Yield'!R:R)</f>
        <v>2254.482363</v>
      </c>
      <c r="D6" s="34">
        <f t="shared" si="1"/>
        <v>4.970199214</v>
      </c>
      <c r="E6" s="30"/>
      <c r="F6" s="30"/>
      <c r="G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B7" s="19" t="s">
        <v>18</v>
      </c>
      <c r="C7" s="33">
        <f>SUM('2023 Yield'!P:P)</f>
        <v>10155.18166</v>
      </c>
      <c r="D7" s="34">
        <f t="shared" si="1"/>
        <v>22.38796662</v>
      </c>
      <c r="F7" s="30"/>
      <c r="G7" s="30"/>
      <c r="H7" s="27" t="s">
        <v>46</v>
      </c>
      <c r="I7" s="30">
        <f>SUM(C:C)</f>
        <v>73615.056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19" t="s">
        <v>47</v>
      </c>
      <c r="B8" s="30"/>
      <c r="C8" s="30">
        <f>SUM('2023 Yield'!B:B)</f>
        <v>2616.881393</v>
      </c>
      <c r="D8" s="31">
        <f t="shared" si="1"/>
        <v>5.769138874</v>
      </c>
      <c r="E8" s="30"/>
      <c r="F8" s="30"/>
      <c r="G8" s="30"/>
      <c r="H8" s="36" t="s">
        <v>48</v>
      </c>
      <c r="I8" s="13">
        <f>I7/I5</f>
        <v>73.615056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19" t="s">
        <v>49</v>
      </c>
      <c r="B9" s="30"/>
      <c r="C9" s="30">
        <f>SUM('2023 Yield'!C:C)</f>
        <v>1601.763668</v>
      </c>
      <c r="D9" s="31">
        <f t="shared" si="1"/>
        <v>3.531225019</v>
      </c>
      <c r="E9" s="30"/>
      <c r="F9" s="30"/>
      <c r="G9" s="30"/>
      <c r="H9" s="27" t="s">
        <v>50</v>
      </c>
      <c r="I9" s="31">
        <f>SUM(D:D)</f>
        <v>162.2906878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19" t="s">
        <v>51</v>
      </c>
      <c r="B10" s="30"/>
      <c r="C10" s="37">
        <f>SUM('2023 Yield'!D:D)</f>
        <v>72.07936508</v>
      </c>
      <c r="D10" s="31">
        <f t="shared" si="1"/>
        <v>0.1589051258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19" t="s">
        <v>52</v>
      </c>
      <c r="B11" s="30"/>
      <c r="C11" s="30">
        <f>SUM('2023 Yield'!G:G)</f>
        <v>12.01322751</v>
      </c>
      <c r="D11" s="31">
        <f t="shared" si="1"/>
        <v>0.02648418764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19" t="s">
        <v>10</v>
      </c>
      <c r="B12" s="30"/>
      <c r="C12" s="37">
        <f>SUM('2023 Yield'!H:H)</f>
        <v>114.1256614</v>
      </c>
      <c r="D12" s="31">
        <f t="shared" si="1"/>
        <v>0.2515997826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19" t="s">
        <v>11</v>
      </c>
      <c r="B13" s="30"/>
      <c r="C13" s="37">
        <f>SUM('2023 Yield'!I:I)</f>
        <v>6.006613757</v>
      </c>
      <c r="D13" s="31">
        <f t="shared" si="1"/>
        <v>0.01324209382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19" t="s">
        <v>12</v>
      </c>
      <c r="B14" s="30"/>
      <c r="C14" s="37">
        <f>SUM('2023 Yield'!J:J)</f>
        <v>1932.127425</v>
      </c>
      <c r="D14" s="31">
        <f t="shared" si="1"/>
        <v>4.259540179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19" t="s">
        <v>13</v>
      </c>
      <c r="B15" s="30"/>
      <c r="C15" s="37">
        <f>SUM('2023 Yield'!K:K)</f>
        <v>246.271164</v>
      </c>
      <c r="D15" s="31">
        <f t="shared" si="1"/>
        <v>0.5429258466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19" t="s">
        <v>14</v>
      </c>
      <c r="B16" s="30"/>
      <c r="C16" s="37">
        <f>SUM('2023 Yield'!L:L)</f>
        <v>3389.732363</v>
      </c>
      <c r="D16" s="31">
        <f t="shared" si="1"/>
        <v>7.472954946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19" t="s">
        <v>15</v>
      </c>
      <c r="B17" s="30"/>
      <c r="C17" s="37">
        <f>SUM('2023 Yield'!M:M)</f>
        <v>945.0405644</v>
      </c>
      <c r="D17" s="31">
        <f t="shared" si="1"/>
        <v>2.083422761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19" t="s">
        <v>22</v>
      </c>
      <c r="B18" s="30"/>
      <c r="C18" s="37">
        <f>SUM('2023 Yield'!T:T)</f>
        <v>3485.838183</v>
      </c>
      <c r="D18" s="31">
        <f t="shared" si="1"/>
        <v>7.684828447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19" t="s">
        <v>23</v>
      </c>
      <c r="B19" s="30"/>
      <c r="C19" s="37">
        <f>SUM('2023 Yield'!U:U)</f>
        <v>3890.28351</v>
      </c>
      <c r="D19" s="31">
        <f t="shared" si="1"/>
        <v>8.576462764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19" t="s">
        <v>25</v>
      </c>
      <c r="B20" s="30"/>
      <c r="C20" s="37">
        <f>SUM('2023 Yield'!W:W)</f>
        <v>90.09920635</v>
      </c>
      <c r="D20" s="31">
        <f t="shared" si="1"/>
        <v>0.1986314073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19" t="s">
        <v>26</v>
      </c>
      <c r="B21" s="30"/>
      <c r="C21" s="37">
        <f>SUM('2023 Yield'!X:X)</f>
        <v>4915.412257</v>
      </c>
      <c r="D21" s="31">
        <f t="shared" si="1"/>
        <v>10.83644678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19" t="s">
        <v>1</v>
      </c>
      <c r="B22" s="30"/>
      <c r="C22" s="37">
        <f>SUM('2023 Yield'!Y:Y)</f>
        <v>1395.536596</v>
      </c>
      <c r="D22" s="31">
        <f t="shared" si="1"/>
        <v>3.076579797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19" t="s">
        <v>29</v>
      </c>
      <c r="B23" s="30"/>
      <c r="C23" s="37">
        <f>SUM('2023 Yield'!AA:AA)</f>
        <v>8631.503968</v>
      </c>
      <c r="D23" s="31">
        <f t="shared" si="1"/>
        <v>19.02888882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19" t="s">
        <v>30</v>
      </c>
      <c r="B24" s="30"/>
      <c r="C24" s="37">
        <f>SUM('2023 Yield'!AB:AB)</f>
        <v>188.207231</v>
      </c>
      <c r="D24" s="31">
        <f t="shared" si="1"/>
        <v>0.4149189397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0"/>
      <c r="B25" s="30"/>
      <c r="C25" s="30"/>
      <c r="D25" s="31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0"/>
      <c r="B26" s="30"/>
      <c r="C26" s="30"/>
      <c r="D26" s="31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0"/>
      <c r="B27" s="30"/>
      <c r="C27" s="30"/>
      <c r="D27" s="31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30"/>
      <c r="B28" s="30"/>
      <c r="C28" s="30"/>
      <c r="D28" s="31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30"/>
      <c r="B29" s="30"/>
      <c r="C29" s="30"/>
      <c r="D29" s="31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30"/>
      <c r="B30" s="30"/>
      <c r="C30" s="30"/>
      <c r="D30" s="31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30"/>
      <c r="B31" s="30"/>
      <c r="C31" s="30"/>
      <c r="D31" s="31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30"/>
      <c r="B32" s="30"/>
      <c r="C32" s="30"/>
      <c r="D32" s="31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30"/>
      <c r="B33" s="30"/>
      <c r="C33" s="30"/>
      <c r="D33" s="31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0"/>
      <c r="B34" s="30"/>
      <c r="C34" s="30"/>
      <c r="D34" s="31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0"/>
      <c r="B35" s="30"/>
      <c r="C35" s="30"/>
      <c r="D35" s="31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30"/>
      <c r="B36" s="30"/>
      <c r="C36" s="30"/>
      <c r="D36" s="31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0"/>
      <c r="B37" s="30"/>
      <c r="C37" s="30"/>
      <c r="D37" s="31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30"/>
      <c r="B38" s="30"/>
      <c r="C38" s="30"/>
      <c r="D38" s="31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30"/>
      <c r="B39" s="30"/>
      <c r="C39" s="30"/>
      <c r="D39" s="31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0"/>
      <c r="B40" s="30"/>
      <c r="C40" s="30"/>
      <c r="D40" s="31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0"/>
      <c r="B41" s="30"/>
      <c r="C41" s="30"/>
      <c r="D41" s="31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30"/>
      <c r="B42" s="30"/>
      <c r="C42" s="30"/>
      <c r="D42" s="31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30"/>
      <c r="B43" s="30"/>
      <c r="C43" s="30"/>
      <c r="D43" s="31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30"/>
      <c r="B44" s="30"/>
      <c r="C44" s="30"/>
      <c r="D44" s="31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30"/>
      <c r="B45" s="30"/>
      <c r="C45" s="30"/>
      <c r="D45" s="31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30"/>
      <c r="B46" s="30"/>
      <c r="C46" s="30"/>
      <c r="D46" s="31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30"/>
      <c r="B47" s="30"/>
      <c r="C47" s="30"/>
      <c r="D47" s="31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0"/>
      <c r="B48" s="30"/>
      <c r="C48" s="30"/>
      <c r="D48" s="31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30"/>
      <c r="B49" s="30"/>
      <c r="C49" s="30"/>
      <c r="D49" s="31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0"/>
      <c r="B50" s="30"/>
      <c r="C50" s="30"/>
      <c r="D50" s="31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30"/>
      <c r="B51" s="30"/>
      <c r="C51" s="30"/>
      <c r="D51" s="31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30"/>
      <c r="B52" s="30"/>
      <c r="C52" s="30"/>
      <c r="D52" s="31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30"/>
      <c r="B53" s="30"/>
      <c r="C53" s="30"/>
      <c r="D53" s="31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30"/>
      <c r="B54" s="30"/>
      <c r="C54" s="30"/>
      <c r="D54" s="31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30"/>
      <c r="B55" s="30"/>
      <c r="C55" s="30"/>
      <c r="D55" s="31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30"/>
      <c r="B56" s="30"/>
      <c r="C56" s="30"/>
      <c r="D56" s="31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30"/>
      <c r="B57" s="30"/>
      <c r="C57" s="30"/>
      <c r="D57" s="31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30"/>
      <c r="B58" s="30"/>
      <c r="C58" s="30"/>
      <c r="D58" s="31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30"/>
      <c r="B59" s="30"/>
      <c r="C59" s="30"/>
      <c r="D59" s="31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30"/>
      <c r="B60" s="30"/>
      <c r="C60" s="30"/>
      <c r="D60" s="31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30"/>
      <c r="B61" s="30"/>
      <c r="C61" s="30"/>
      <c r="D61" s="31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30"/>
      <c r="B62" s="30"/>
      <c r="C62" s="30"/>
      <c r="D62" s="31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30"/>
      <c r="B63" s="30"/>
      <c r="C63" s="30"/>
      <c r="D63" s="31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30"/>
      <c r="B64" s="30"/>
      <c r="C64" s="30"/>
      <c r="D64" s="31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0"/>
      <c r="B65" s="30"/>
      <c r="C65" s="30"/>
      <c r="D65" s="31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30"/>
      <c r="B66" s="30"/>
      <c r="C66" s="30"/>
      <c r="D66" s="31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30"/>
      <c r="B67" s="30"/>
      <c r="C67" s="30"/>
      <c r="D67" s="31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30"/>
      <c r="B68" s="30"/>
      <c r="C68" s="30"/>
      <c r="D68" s="31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30"/>
      <c r="B69" s="30"/>
      <c r="C69" s="30"/>
      <c r="D69" s="31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30"/>
      <c r="B70" s="30"/>
      <c r="C70" s="30"/>
      <c r="D70" s="31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0"/>
      <c r="B71" s="30"/>
      <c r="C71" s="30"/>
      <c r="D71" s="31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0"/>
      <c r="B72" s="30"/>
      <c r="C72" s="30"/>
      <c r="D72" s="31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0"/>
      <c r="B73" s="30"/>
      <c r="C73" s="30"/>
      <c r="D73" s="31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0"/>
      <c r="B74" s="30"/>
      <c r="C74" s="30"/>
      <c r="D74" s="31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0"/>
      <c r="B75" s="30"/>
      <c r="C75" s="30"/>
      <c r="D75" s="31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0"/>
      <c r="B76" s="30"/>
      <c r="C76" s="30"/>
      <c r="D76" s="31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0"/>
      <c r="B77" s="30"/>
      <c r="C77" s="30"/>
      <c r="D77" s="31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0"/>
      <c r="B78" s="30"/>
      <c r="C78" s="30"/>
      <c r="D78" s="31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0"/>
      <c r="B79" s="30"/>
      <c r="C79" s="30"/>
      <c r="D79" s="31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0"/>
      <c r="B80" s="30"/>
      <c r="C80" s="30"/>
      <c r="D80" s="31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0"/>
      <c r="B81" s="30"/>
      <c r="C81" s="30"/>
      <c r="D81" s="31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30"/>
      <c r="B82" s="30"/>
      <c r="C82" s="30"/>
      <c r="D82" s="31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30"/>
      <c r="B83" s="30"/>
      <c r="C83" s="30"/>
      <c r="D83" s="31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30"/>
      <c r="B84" s="30"/>
      <c r="C84" s="30"/>
      <c r="D84" s="31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30"/>
      <c r="B85" s="30"/>
      <c r="C85" s="30"/>
      <c r="D85" s="31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0"/>
      <c r="B86" s="30"/>
      <c r="C86" s="30"/>
      <c r="D86" s="31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30"/>
      <c r="B87" s="30"/>
      <c r="C87" s="30"/>
      <c r="D87" s="31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0"/>
      <c r="B88" s="30"/>
      <c r="C88" s="30"/>
      <c r="D88" s="31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30"/>
      <c r="B89" s="30"/>
      <c r="C89" s="30"/>
      <c r="D89" s="31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0"/>
      <c r="B90" s="30"/>
      <c r="C90" s="30"/>
      <c r="D90" s="31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0"/>
      <c r="B91" s="30"/>
      <c r="C91" s="30"/>
      <c r="D91" s="31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30"/>
      <c r="B92" s="30"/>
      <c r="C92" s="30"/>
      <c r="D92" s="31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0"/>
      <c r="B93" s="30"/>
      <c r="C93" s="30"/>
      <c r="D93" s="31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0"/>
      <c r="B94" s="30"/>
      <c r="C94" s="30"/>
      <c r="D94" s="31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0"/>
      <c r="B95" s="30"/>
      <c r="C95" s="30"/>
      <c r="D95" s="31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0"/>
      <c r="B96" s="30"/>
      <c r="C96" s="30"/>
      <c r="D96" s="31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0"/>
      <c r="B97" s="30"/>
      <c r="C97" s="30"/>
      <c r="D97" s="31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0"/>
      <c r="B98" s="30"/>
      <c r="C98" s="30"/>
      <c r="D98" s="31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0"/>
      <c r="B99" s="30"/>
      <c r="C99" s="30"/>
      <c r="D99" s="31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0"/>
      <c r="B100" s="30"/>
      <c r="C100" s="30"/>
      <c r="D100" s="31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0"/>
      <c r="B101" s="30"/>
      <c r="C101" s="30"/>
      <c r="D101" s="31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0"/>
      <c r="B102" s="30"/>
      <c r="C102" s="30"/>
      <c r="D102" s="31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0"/>
      <c r="B103" s="30"/>
      <c r="C103" s="30"/>
      <c r="D103" s="31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0"/>
      <c r="B104" s="30"/>
      <c r="C104" s="30"/>
      <c r="D104" s="31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0"/>
      <c r="B105" s="30"/>
      <c r="C105" s="30"/>
      <c r="D105" s="31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0"/>
      <c r="B106" s="30"/>
      <c r="C106" s="30"/>
      <c r="D106" s="31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0"/>
      <c r="B107" s="30"/>
      <c r="C107" s="30"/>
      <c r="D107" s="31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0"/>
      <c r="B108" s="30"/>
      <c r="C108" s="30"/>
      <c r="D108" s="31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0"/>
      <c r="B109" s="30"/>
      <c r="C109" s="30"/>
      <c r="D109" s="31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0"/>
      <c r="B110" s="30"/>
      <c r="C110" s="30"/>
      <c r="D110" s="31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0"/>
      <c r="B111" s="30"/>
      <c r="C111" s="30"/>
      <c r="D111" s="31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/>
      <c r="B112" s="30"/>
      <c r="C112" s="30"/>
      <c r="D112" s="31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/>
      <c r="B113" s="30"/>
      <c r="C113" s="30"/>
      <c r="D113" s="31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/>
      <c r="B114" s="30"/>
      <c r="C114" s="30"/>
      <c r="D114" s="31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/>
      <c r="B115" s="30"/>
      <c r="C115" s="30"/>
      <c r="D115" s="31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0"/>
      <c r="B116" s="30"/>
      <c r="C116" s="30"/>
      <c r="D116" s="31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0"/>
      <c r="B117" s="30"/>
      <c r="C117" s="30"/>
      <c r="D117" s="31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0"/>
      <c r="B118" s="30"/>
      <c r="C118" s="30"/>
      <c r="D118" s="31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0"/>
      <c r="B119" s="30"/>
      <c r="C119" s="30"/>
      <c r="D119" s="31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0"/>
      <c r="B120" s="30"/>
      <c r="C120" s="30"/>
      <c r="D120" s="31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0"/>
      <c r="B121" s="30"/>
      <c r="C121" s="30"/>
      <c r="D121" s="31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/>
      <c r="B122" s="30"/>
      <c r="C122" s="30"/>
      <c r="D122" s="31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/>
      <c r="B123" s="30"/>
      <c r="C123" s="30"/>
      <c r="D123" s="31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/>
      <c r="B124" s="30"/>
      <c r="C124" s="30"/>
      <c r="D124" s="31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/>
      <c r="B125" s="30"/>
      <c r="C125" s="30"/>
      <c r="D125" s="31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/>
      <c r="B126" s="30"/>
      <c r="C126" s="30"/>
      <c r="D126" s="31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/>
      <c r="B127" s="30"/>
      <c r="C127" s="30"/>
      <c r="D127" s="31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/>
      <c r="B128" s="30"/>
      <c r="C128" s="30"/>
      <c r="D128" s="31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/>
      <c r="B129" s="30"/>
      <c r="C129" s="30"/>
      <c r="D129" s="31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/>
      <c r="B130" s="30"/>
      <c r="C130" s="30"/>
      <c r="D130" s="31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/>
      <c r="B131" s="30"/>
      <c r="C131" s="30"/>
      <c r="D131" s="31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/>
      <c r="B132" s="30"/>
      <c r="C132" s="30"/>
      <c r="D132" s="31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/>
      <c r="B133" s="30"/>
      <c r="C133" s="30"/>
      <c r="D133" s="31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/>
      <c r="B134" s="30"/>
      <c r="C134" s="30"/>
      <c r="D134" s="31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/>
      <c r="B135" s="30"/>
      <c r="C135" s="30"/>
      <c r="D135" s="31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30"/>
      <c r="C136" s="30"/>
      <c r="D136" s="31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30"/>
      <c r="C137" s="30"/>
      <c r="D137" s="31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30"/>
      <c r="C138" s="30"/>
      <c r="D138" s="31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/>
      <c r="B139" s="30"/>
      <c r="C139" s="30"/>
      <c r="D139" s="31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/>
      <c r="B140" s="30"/>
      <c r="C140" s="30"/>
      <c r="D140" s="31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/>
      <c r="B141" s="30"/>
      <c r="C141" s="30"/>
      <c r="D141" s="31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/>
      <c r="B142" s="30"/>
      <c r="C142" s="30"/>
      <c r="D142" s="31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/>
      <c r="B143" s="30"/>
      <c r="C143" s="30"/>
      <c r="D143" s="31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/>
      <c r="B144" s="30"/>
      <c r="C144" s="30"/>
      <c r="D144" s="31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/>
      <c r="B145" s="30"/>
      <c r="C145" s="30"/>
      <c r="D145" s="31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/>
      <c r="B146" s="30"/>
      <c r="C146" s="30"/>
      <c r="D146" s="31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/>
      <c r="B147" s="30"/>
      <c r="C147" s="30"/>
      <c r="D147" s="31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/>
      <c r="B148" s="30"/>
      <c r="C148" s="30"/>
      <c r="D148" s="31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/>
      <c r="B149" s="30"/>
      <c r="C149" s="30"/>
      <c r="D149" s="31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/>
      <c r="B150" s="30"/>
      <c r="C150" s="30"/>
      <c r="D150" s="31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/>
      <c r="B151" s="30"/>
      <c r="C151" s="30"/>
      <c r="D151" s="31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/>
      <c r="B152" s="30"/>
      <c r="C152" s="30"/>
      <c r="D152" s="31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/>
      <c r="B153" s="30"/>
      <c r="C153" s="30"/>
      <c r="D153" s="31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/>
      <c r="B154" s="30"/>
      <c r="C154" s="30"/>
      <c r="D154" s="31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/>
      <c r="B155" s="30"/>
      <c r="C155" s="30"/>
      <c r="D155" s="31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/>
      <c r="B156" s="30"/>
      <c r="C156" s="30"/>
      <c r="D156" s="31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/>
      <c r="B157" s="30"/>
      <c r="C157" s="30"/>
      <c r="D157" s="31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/>
      <c r="B158" s="30"/>
      <c r="C158" s="30"/>
      <c r="D158" s="31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/>
      <c r="B159" s="30"/>
      <c r="C159" s="30"/>
      <c r="D159" s="31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/>
      <c r="B160" s="30"/>
      <c r="C160" s="30"/>
      <c r="D160" s="31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0"/>
      <c r="B161" s="30"/>
      <c r="C161" s="30"/>
      <c r="D161" s="31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/>
      <c r="B162" s="30"/>
      <c r="C162" s="30"/>
      <c r="D162" s="31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0"/>
      <c r="B163" s="30"/>
      <c r="C163" s="30"/>
      <c r="D163" s="3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30"/>
      <c r="C164" s="30"/>
      <c r="D164" s="31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30"/>
      <c r="C165" s="30"/>
      <c r="D165" s="31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/>
      <c r="B166" s="30"/>
      <c r="C166" s="30"/>
      <c r="D166" s="31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/>
      <c r="B167" s="30"/>
      <c r="C167" s="30"/>
      <c r="D167" s="31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/>
      <c r="B168" s="30"/>
      <c r="C168" s="30"/>
      <c r="D168" s="31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/>
      <c r="B169" s="30"/>
      <c r="C169" s="30"/>
      <c r="D169" s="31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/>
      <c r="B170" s="30"/>
      <c r="C170" s="30"/>
      <c r="D170" s="31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/>
      <c r="B171" s="30"/>
      <c r="C171" s="30"/>
      <c r="D171" s="31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30"/>
      <c r="C172" s="30"/>
      <c r="D172" s="31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30"/>
      <c r="C173" s="30"/>
      <c r="D173" s="31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30"/>
      <c r="C174" s="30"/>
      <c r="D174" s="31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30"/>
      <c r="C175" s="30"/>
      <c r="D175" s="31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0"/>
      <c r="B176" s="30"/>
      <c r="C176" s="30"/>
      <c r="D176" s="31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30"/>
      <c r="C177" s="30"/>
      <c r="D177" s="31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30"/>
      <c r="C178" s="30"/>
      <c r="D178" s="31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30"/>
      <c r="C179" s="30"/>
      <c r="D179" s="31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0"/>
      <c r="B180" s="30"/>
      <c r="C180" s="30"/>
      <c r="D180" s="31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30"/>
      <c r="C181" s="30"/>
      <c r="D181" s="31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30"/>
      <c r="C182" s="30"/>
      <c r="D182" s="31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30"/>
      <c r="C183" s="30"/>
      <c r="D183" s="31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30"/>
      <c r="C184" s="30"/>
      <c r="D184" s="31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30"/>
      <c r="C185" s="30"/>
      <c r="D185" s="31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30"/>
      <c r="C186" s="30"/>
      <c r="D186" s="31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30"/>
      <c r="C187" s="30"/>
      <c r="D187" s="31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30"/>
      <c r="C188" s="30"/>
      <c r="D188" s="31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30"/>
      <c r="C189" s="30"/>
      <c r="D189" s="31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30"/>
      <c r="C190" s="30"/>
      <c r="D190" s="31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30"/>
      <c r="C191" s="30"/>
      <c r="D191" s="31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30"/>
      <c r="C192" s="30"/>
      <c r="D192" s="31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30"/>
      <c r="C193" s="30"/>
      <c r="D193" s="31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30"/>
      <c r="C194" s="30"/>
      <c r="D194" s="31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30"/>
      <c r="C195" s="30"/>
      <c r="D195" s="31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30"/>
      <c r="C196" s="30"/>
      <c r="D196" s="31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30"/>
      <c r="C197" s="30"/>
      <c r="D197" s="31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30"/>
      <c r="C198" s="30"/>
      <c r="D198" s="31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30"/>
      <c r="C199" s="30"/>
      <c r="D199" s="31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30"/>
      <c r="C200" s="30"/>
      <c r="D200" s="31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30"/>
      <c r="C201" s="30"/>
      <c r="D201" s="31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30"/>
      <c r="C202" s="30"/>
      <c r="D202" s="31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30"/>
      <c r="C203" s="30"/>
      <c r="D203" s="31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30"/>
      <c r="C204" s="30"/>
      <c r="D204" s="31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30"/>
      <c r="C205" s="30"/>
      <c r="D205" s="31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30"/>
      <c r="C206" s="30"/>
      <c r="D206" s="31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30"/>
      <c r="C207" s="30"/>
      <c r="D207" s="31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30"/>
      <c r="C208" s="30"/>
      <c r="D208" s="31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30"/>
      <c r="C209" s="30"/>
      <c r="D209" s="31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30"/>
      <c r="C210" s="30"/>
      <c r="D210" s="31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30"/>
      <c r="C211" s="30"/>
      <c r="D211" s="31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30"/>
      <c r="C212" s="30"/>
      <c r="D212" s="31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30"/>
      <c r="C213" s="30"/>
      <c r="D213" s="31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30"/>
      <c r="C214" s="30"/>
      <c r="D214" s="31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30"/>
      <c r="C215" s="30"/>
      <c r="D215" s="31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30"/>
      <c r="C216" s="30"/>
      <c r="D216" s="31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30"/>
      <c r="C217" s="30"/>
      <c r="D217" s="31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30"/>
      <c r="C218" s="30"/>
      <c r="D218" s="31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30"/>
      <c r="C219" s="30"/>
      <c r="D219" s="31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30"/>
      <c r="C220" s="30"/>
      <c r="D220" s="31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30"/>
      <c r="C221" s="30"/>
      <c r="D221" s="31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30"/>
      <c r="C222" s="30"/>
      <c r="D222" s="31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30"/>
      <c r="C223" s="30"/>
      <c r="D223" s="31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30"/>
      <c r="C224" s="30"/>
      <c r="D224" s="31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30"/>
      <c r="C225" s="30"/>
      <c r="D225" s="31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30"/>
      <c r="C226" s="30"/>
      <c r="D226" s="31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30"/>
      <c r="C227" s="30"/>
      <c r="D227" s="31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30"/>
      <c r="C228" s="30"/>
      <c r="D228" s="31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30"/>
      <c r="C229" s="30"/>
      <c r="D229" s="31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30"/>
      <c r="C230" s="30"/>
      <c r="D230" s="31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30"/>
      <c r="C231" s="30"/>
      <c r="D231" s="31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30"/>
      <c r="C232" s="30"/>
      <c r="D232" s="31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30"/>
      <c r="C233" s="30"/>
      <c r="D233" s="31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30"/>
      <c r="C234" s="30"/>
      <c r="D234" s="31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30"/>
      <c r="C235" s="30"/>
      <c r="D235" s="31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30"/>
      <c r="C236" s="30"/>
      <c r="D236" s="31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30"/>
      <c r="C237" s="30"/>
      <c r="D237" s="31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30"/>
      <c r="C238" s="30"/>
      <c r="D238" s="31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30"/>
      <c r="C239" s="30"/>
      <c r="D239" s="31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30"/>
      <c r="C240" s="30"/>
      <c r="D240" s="31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30"/>
      <c r="C241" s="30"/>
      <c r="D241" s="31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30"/>
      <c r="C242" s="30"/>
      <c r="D242" s="31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30"/>
      <c r="C243" s="30"/>
      <c r="D243" s="31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30"/>
      <c r="C244" s="30"/>
      <c r="D244" s="31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30"/>
      <c r="C245" s="30"/>
      <c r="D245" s="31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30"/>
      <c r="C246" s="30"/>
      <c r="D246" s="31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30"/>
      <c r="C247" s="30"/>
      <c r="D247" s="31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30"/>
      <c r="C248" s="30"/>
      <c r="D248" s="31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30"/>
      <c r="C249" s="30"/>
      <c r="D249" s="31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30"/>
      <c r="C250" s="30"/>
      <c r="D250" s="31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30"/>
      <c r="C251" s="30"/>
      <c r="D251" s="31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30"/>
      <c r="C252" s="30"/>
      <c r="D252" s="31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30"/>
      <c r="C253" s="30"/>
      <c r="D253" s="31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30"/>
      <c r="C254" s="30"/>
      <c r="D254" s="31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30"/>
      <c r="C255" s="30"/>
      <c r="D255" s="31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30"/>
      <c r="C256" s="30"/>
      <c r="D256" s="31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30"/>
      <c r="C257" s="30"/>
      <c r="D257" s="31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30"/>
      <c r="C258" s="30"/>
      <c r="D258" s="31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30"/>
      <c r="C259" s="30"/>
      <c r="D259" s="31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30"/>
      <c r="C260" s="30"/>
      <c r="D260" s="31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30"/>
      <c r="C261" s="30"/>
      <c r="D261" s="31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30"/>
      <c r="C262" s="30"/>
      <c r="D262" s="31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30"/>
      <c r="C263" s="30"/>
      <c r="D263" s="31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30"/>
      <c r="C264" s="30"/>
      <c r="D264" s="31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30"/>
      <c r="C265" s="30"/>
      <c r="D265" s="31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30"/>
      <c r="C266" s="30"/>
      <c r="D266" s="31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30"/>
      <c r="C267" s="30"/>
      <c r="D267" s="31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30"/>
      <c r="C268" s="30"/>
      <c r="D268" s="31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30"/>
      <c r="C269" s="30"/>
      <c r="D269" s="31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30"/>
      <c r="C270" s="30"/>
      <c r="D270" s="31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/>
      <c r="B271" s="30"/>
      <c r="C271" s="30"/>
      <c r="D271" s="31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30"/>
      <c r="C272" s="30"/>
      <c r="D272" s="31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30"/>
      <c r="C273" s="30"/>
      <c r="D273" s="31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30"/>
      <c r="C274" s="30"/>
      <c r="D274" s="31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30"/>
      <c r="C275" s="30"/>
      <c r="D275" s="31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30"/>
      <c r="C276" s="30"/>
      <c r="D276" s="31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30"/>
      <c r="C277" s="30"/>
      <c r="D277" s="31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30"/>
      <c r="C278" s="30"/>
      <c r="D278" s="31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30"/>
      <c r="C279" s="30"/>
      <c r="D279" s="31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0"/>
      <c r="B280" s="30"/>
      <c r="C280" s="30"/>
      <c r="D280" s="31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0"/>
      <c r="B281" s="30"/>
      <c r="C281" s="30"/>
      <c r="D281" s="31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0"/>
      <c r="B282" s="30"/>
      <c r="C282" s="30"/>
      <c r="D282" s="31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0"/>
      <c r="B283" s="30"/>
      <c r="C283" s="30"/>
      <c r="D283" s="31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0"/>
      <c r="B284" s="30"/>
      <c r="C284" s="30"/>
      <c r="D284" s="31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0"/>
      <c r="B285" s="30"/>
      <c r="C285" s="30"/>
      <c r="D285" s="31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0"/>
      <c r="B286" s="30"/>
      <c r="C286" s="30"/>
      <c r="D286" s="31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0"/>
      <c r="B287" s="30"/>
      <c r="C287" s="30"/>
      <c r="D287" s="31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0"/>
      <c r="B288" s="30"/>
      <c r="C288" s="30"/>
      <c r="D288" s="31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0"/>
      <c r="B289" s="30"/>
      <c r="C289" s="30"/>
      <c r="D289" s="31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0"/>
      <c r="B290" s="30"/>
      <c r="C290" s="30"/>
      <c r="D290" s="31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0"/>
      <c r="B291" s="30"/>
      <c r="C291" s="30"/>
      <c r="D291" s="31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0"/>
      <c r="B292" s="30"/>
      <c r="C292" s="30"/>
      <c r="D292" s="31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0"/>
      <c r="B293" s="30"/>
      <c r="C293" s="30"/>
      <c r="D293" s="31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0"/>
      <c r="B294" s="30"/>
      <c r="C294" s="30"/>
      <c r="D294" s="31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0"/>
      <c r="B295" s="30"/>
      <c r="C295" s="30"/>
      <c r="D295" s="31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0"/>
      <c r="B296" s="30"/>
      <c r="C296" s="30"/>
      <c r="D296" s="31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0"/>
      <c r="B297" s="30"/>
      <c r="C297" s="30"/>
      <c r="D297" s="31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0"/>
      <c r="B298" s="30"/>
      <c r="C298" s="30"/>
      <c r="D298" s="31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0"/>
      <c r="B299" s="30"/>
      <c r="C299" s="30"/>
      <c r="D299" s="31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0"/>
      <c r="B300" s="30"/>
      <c r="C300" s="30"/>
      <c r="D300" s="31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0"/>
      <c r="B301" s="30"/>
      <c r="C301" s="30"/>
      <c r="D301" s="31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0"/>
      <c r="B302" s="30"/>
      <c r="C302" s="30"/>
      <c r="D302" s="31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0"/>
      <c r="B303" s="30"/>
      <c r="C303" s="30"/>
      <c r="D303" s="31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0"/>
      <c r="B304" s="30"/>
      <c r="C304" s="30"/>
      <c r="D304" s="31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30"/>
      <c r="B305" s="30"/>
      <c r="C305" s="30"/>
      <c r="D305" s="31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30"/>
      <c r="B306" s="30"/>
      <c r="C306" s="30"/>
      <c r="D306" s="31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30"/>
      <c r="B307" s="30"/>
      <c r="C307" s="30"/>
      <c r="D307" s="31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30"/>
      <c r="B308" s="30"/>
      <c r="C308" s="30"/>
      <c r="D308" s="31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30"/>
      <c r="B309" s="30"/>
      <c r="C309" s="30"/>
      <c r="D309" s="31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30"/>
      <c r="B310" s="30"/>
      <c r="C310" s="30"/>
      <c r="D310" s="31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30"/>
      <c r="B311" s="30"/>
      <c r="C311" s="30"/>
      <c r="D311" s="31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30"/>
      <c r="B312" s="30"/>
      <c r="C312" s="30"/>
      <c r="D312" s="31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30"/>
      <c r="B313" s="30"/>
      <c r="C313" s="30"/>
      <c r="D313" s="31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30"/>
      <c r="B314" s="30"/>
      <c r="C314" s="30"/>
      <c r="D314" s="31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30"/>
      <c r="B315" s="30"/>
      <c r="C315" s="30"/>
      <c r="D315" s="31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30"/>
      <c r="B316" s="30"/>
      <c r="C316" s="30"/>
      <c r="D316" s="31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30"/>
      <c r="B317" s="30"/>
      <c r="C317" s="30"/>
      <c r="D317" s="31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30"/>
      <c r="B318" s="30"/>
      <c r="C318" s="30"/>
      <c r="D318" s="31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30"/>
      <c r="B319" s="30"/>
      <c r="C319" s="30"/>
      <c r="D319" s="31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30"/>
      <c r="B320" s="30"/>
      <c r="C320" s="30"/>
      <c r="D320" s="31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30"/>
      <c r="B321" s="30"/>
      <c r="C321" s="30"/>
      <c r="D321" s="31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30"/>
      <c r="B322" s="30"/>
      <c r="C322" s="30"/>
      <c r="D322" s="31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30"/>
      <c r="B323" s="30"/>
      <c r="C323" s="30"/>
      <c r="D323" s="31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30"/>
      <c r="B324" s="30"/>
      <c r="C324" s="30"/>
      <c r="D324" s="31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30"/>
      <c r="B325" s="30"/>
      <c r="C325" s="30"/>
      <c r="D325" s="31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30"/>
      <c r="B326" s="30"/>
      <c r="C326" s="30"/>
      <c r="D326" s="31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30"/>
      <c r="B327" s="30"/>
      <c r="C327" s="30"/>
      <c r="D327" s="31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30"/>
      <c r="B328" s="30"/>
      <c r="C328" s="30"/>
      <c r="D328" s="31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30"/>
      <c r="B329" s="30"/>
      <c r="C329" s="30"/>
      <c r="D329" s="31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30"/>
      <c r="B330" s="30"/>
      <c r="C330" s="30"/>
      <c r="D330" s="31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30"/>
      <c r="B331" s="30"/>
      <c r="C331" s="30"/>
      <c r="D331" s="31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30"/>
      <c r="B332" s="30"/>
      <c r="C332" s="30"/>
      <c r="D332" s="31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30"/>
      <c r="B333" s="30"/>
      <c r="C333" s="30"/>
      <c r="D333" s="31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30"/>
      <c r="B334" s="30"/>
      <c r="C334" s="30"/>
      <c r="D334" s="31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30"/>
      <c r="B335" s="30"/>
      <c r="C335" s="30"/>
      <c r="D335" s="31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30"/>
      <c r="B336" s="30"/>
      <c r="C336" s="30"/>
      <c r="D336" s="31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30"/>
      <c r="B337" s="30"/>
      <c r="C337" s="30"/>
      <c r="D337" s="31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30"/>
      <c r="B338" s="30"/>
      <c r="C338" s="30"/>
      <c r="D338" s="31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30"/>
      <c r="B339" s="30"/>
      <c r="C339" s="30"/>
      <c r="D339" s="31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30"/>
      <c r="B340" s="30"/>
      <c r="C340" s="30"/>
      <c r="D340" s="31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30"/>
      <c r="B341" s="30"/>
      <c r="C341" s="30"/>
      <c r="D341" s="31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30"/>
      <c r="B342" s="30"/>
      <c r="C342" s="30"/>
      <c r="D342" s="31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30"/>
      <c r="B343" s="30"/>
      <c r="C343" s="30"/>
      <c r="D343" s="31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30"/>
      <c r="B344" s="30"/>
      <c r="C344" s="30"/>
      <c r="D344" s="31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30"/>
      <c r="B345" s="30"/>
      <c r="C345" s="30"/>
      <c r="D345" s="31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30"/>
      <c r="B346" s="30"/>
      <c r="C346" s="30"/>
      <c r="D346" s="31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30"/>
      <c r="B347" s="30"/>
      <c r="C347" s="30"/>
      <c r="D347" s="31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30"/>
      <c r="B348" s="30"/>
      <c r="C348" s="30"/>
      <c r="D348" s="31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30"/>
      <c r="B349" s="30"/>
      <c r="C349" s="30"/>
      <c r="D349" s="31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30"/>
      <c r="B350" s="30"/>
      <c r="C350" s="30"/>
      <c r="D350" s="31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30"/>
      <c r="B351" s="30"/>
      <c r="C351" s="30"/>
      <c r="D351" s="31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30"/>
      <c r="B352" s="30"/>
      <c r="C352" s="30"/>
      <c r="D352" s="31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30"/>
      <c r="B353" s="30"/>
      <c r="C353" s="30"/>
      <c r="D353" s="31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30"/>
      <c r="B354" s="30"/>
      <c r="C354" s="30"/>
      <c r="D354" s="31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30"/>
      <c r="B355" s="30"/>
      <c r="C355" s="30"/>
      <c r="D355" s="31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30"/>
      <c r="B356" s="30"/>
      <c r="C356" s="30"/>
      <c r="D356" s="31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30"/>
      <c r="B357" s="30"/>
      <c r="C357" s="30"/>
      <c r="D357" s="31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30"/>
      <c r="B358" s="30"/>
      <c r="C358" s="30"/>
      <c r="D358" s="31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30"/>
      <c r="B359" s="30"/>
      <c r="C359" s="30"/>
      <c r="D359" s="31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30"/>
      <c r="B360" s="30"/>
      <c r="C360" s="30"/>
      <c r="D360" s="31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30"/>
      <c r="B361" s="30"/>
      <c r="C361" s="30"/>
      <c r="D361" s="31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30"/>
      <c r="B362" s="30"/>
      <c r="C362" s="30"/>
      <c r="D362" s="31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30"/>
      <c r="B363" s="30"/>
      <c r="C363" s="30"/>
      <c r="D363" s="31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30"/>
      <c r="B364" s="30"/>
      <c r="C364" s="30"/>
      <c r="D364" s="31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30"/>
      <c r="B365" s="30"/>
      <c r="C365" s="30"/>
      <c r="D365" s="31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30"/>
      <c r="B366" s="30"/>
      <c r="C366" s="30"/>
      <c r="D366" s="31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30"/>
      <c r="B367" s="30"/>
      <c r="C367" s="30"/>
      <c r="D367" s="31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30"/>
      <c r="B368" s="30"/>
      <c r="C368" s="30"/>
      <c r="D368" s="31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30"/>
      <c r="B369" s="30"/>
      <c r="C369" s="30"/>
      <c r="D369" s="31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30"/>
      <c r="B370" s="30"/>
      <c r="C370" s="30"/>
      <c r="D370" s="31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30"/>
      <c r="B371" s="30"/>
      <c r="C371" s="30"/>
      <c r="D371" s="31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30"/>
      <c r="B372" s="30"/>
      <c r="C372" s="30"/>
      <c r="D372" s="31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30"/>
      <c r="B373" s="30"/>
      <c r="C373" s="30"/>
      <c r="D373" s="31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0"/>
      <c r="B374" s="30"/>
      <c r="C374" s="30"/>
      <c r="D374" s="31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30"/>
      <c r="B375" s="30"/>
      <c r="C375" s="30"/>
      <c r="D375" s="31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30"/>
      <c r="B376" s="30"/>
      <c r="C376" s="30"/>
      <c r="D376" s="31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30"/>
      <c r="B377" s="30"/>
      <c r="C377" s="30"/>
      <c r="D377" s="31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30"/>
      <c r="B378" s="30"/>
      <c r="C378" s="30"/>
      <c r="D378" s="31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30"/>
      <c r="B379" s="30"/>
      <c r="C379" s="30"/>
      <c r="D379" s="31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30"/>
      <c r="B380" s="30"/>
      <c r="C380" s="30"/>
      <c r="D380" s="31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30"/>
      <c r="B381" s="30"/>
      <c r="C381" s="30"/>
      <c r="D381" s="31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30"/>
      <c r="B382" s="30"/>
      <c r="C382" s="30"/>
      <c r="D382" s="31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0"/>
      <c r="B383" s="30"/>
      <c r="C383" s="30"/>
      <c r="D383" s="31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30"/>
      <c r="B384" s="30"/>
      <c r="C384" s="30"/>
      <c r="D384" s="31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30"/>
      <c r="B385" s="30"/>
      <c r="C385" s="30"/>
      <c r="D385" s="31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30"/>
      <c r="B386" s="30"/>
      <c r="C386" s="30"/>
      <c r="D386" s="31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30"/>
      <c r="B387" s="30"/>
      <c r="C387" s="30"/>
      <c r="D387" s="31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30"/>
      <c r="B388" s="30"/>
      <c r="C388" s="30"/>
      <c r="D388" s="31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30"/>
      <c r="B389" s="30"/>
      <c r="C389" s="30"/>
      <c r="D389" s="31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30"/>
      <c r="B390" s="30"/>
      <c r="C390" s="30"/>
      <c r="D390" s="31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30"/>
      <c r="B391" s="30"/>
      <c r="C391" s="30"/>
      <c r="D391" s="31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30"/>
      <c r="B392" s="30"/>
      <c r="C392" s="30"/>
      <c r="D392" s="31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30"/>
      <c r="B393" s="30"/>
      <c r="C393" s="30"/>
      <c r="D393" s="31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30"/>
      <c r="B394" s="30"/>
      <c r="C394" s="30"/>
      <c r="D394" s="31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30"/>
      <c r="B395" s="30"/>
      <c r="C395" s="30"/>
      <c r="D395" s="31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30"/>
      <c r="B396" s="30"/>
      <c r="C396" s="30"/>
      <c r="D396" s="31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30"/>
      <c r="B397" s="30"/>
      <c r="C397" s="30"/>
      <c r="D397" s="31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30"/>
      <c r="B398" s="30"/>
      <c r="C398" s="30"/>
      <c r="D398" s="31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30"/>
      <c r="B399" s="30"/>
      <c r="C399" s="30"/>
      <c r="D399" s="31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30"/>
      <c r="B400" s="30"/>
      <c r="C400" s="30"/>
      <c r="D400" s="31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30"/>
      <c r="B401" s="30"/>
      <c r="C401" s="30"/>
      <c r="D401" s="31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30"/>
      <c r="B402" s="30"/>
      <c r="C402" s="30"/>
      <c r="D402" s="31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30"/>
      <c r="B403" s="30"/>
      <c r="C403" s="30"/>
      <c r="D403" s="31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30"/>
      <c r="B404" s="30"/>
      <c r="C404" s="30"/>
      <c r="D404" s="31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30"/>
      <c r="B405" s="30"/>
      <c r="C405" s="30"/>
      <c r="D405" s="31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30"/>
      <c r="B406" s="30"/>
      <c r="C406" s="30"/>
      <c r="D406" s="31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30"/>
      <c r="B407" s="30"/>
      <c r="C407" s="30"/>
      <c r="D407" s="31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30"/>
      <c r="B408" s="30"/>
      <c r="C408" s="30"/>
      <c r="D408" s="31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30"/>
      <c r="B409" s="30"/>
      <c r="C409" s="30"/>
      <c r="D409" s="31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30"/>
      <c r="B410" s="30"/>
      <c r="C410" s="30"/>
      <c r="D410" s="31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30"/>
      <c r="B411" s="30"/>
      <c r="C411" s="30"/>
      <c r="D411" s="31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30"/>
      <c r="B412" s="30"/>
      <c r="C412" s="30"/>
      <c r="D412" s="31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30"/>
      <c r="B413" s="30"/>
      <c r="C413" s="30"/>
      <c r="D413" s="31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30"/>
      <c r="B414" s="30"/>
      <c r="C414" s="30"/>
      <c r="D414" s="31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30"/>
      <c r="B415" s="30"/>
      <c r="C415" s="30"/>
      <c r="D415" s="31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30"/>
      <c r="B416" s="30"/>
      <c r="C416" s="30"/>
      <c r="D416" s="31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30"/>
      <c r="B417" s="30"/>
      <c r="C417" s="30"/>
      <c r="D417" s="31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30"/>
      <c r="B418" s="30"/>
      <c r="C418" s="30"/>
      <c r="D418" s="31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30"/>
      <c r="B419" s="30"/>
      <c r="C419" s="30"/>
      <c r="D419" s="31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30"/>
      <c r="B420" s="30"/>
      <c r="C420" s="30"/>
      <c r="D420" s="31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30"/>
      <c r="B421" s="30"/>
      <c r="C421" s="30"/>
      <c r="D421" s="31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30"/>
      <c r="B422" s="30"/>
      <c r="C422" s="30"/>
      <c r="D422" s="31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30"/>
      <c r="B423" s="30"/>
      <c r="C423" s="30"/>
      <c r="D423" s="31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30"/>
      <c r="B424" s="30"/>
      <c r="C424" s="30"/>
      <c r="D424" s="31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30"/>
      <c r="B425" s="30"/>
      <c r="C425" s="30"/>
      <c r="D425" s="31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30"/>
      <c r="B426" s="30"/>
      <c r="C426" s="30"/>
      <c r="D426" s="31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30"/>
      <c r="B427" s="30"/>
      <c r="C427" s="30"/>
      <c r="D427" s="31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30"/>
      <c r="B428" s="30"/>
      <c r="C428" s="30"/>
      <c r="D428" s="31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30"/>
      <c r="B429" s="30"/>
      <c r="C429" s="30"/>
      <c r="D429" s="31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30"/>
      <c r="B430" s="30"/>
      <c r="C430" s="30"/>
      <c r="D430" s="31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30"/>
      <c r="B431" s="30"/>
      <c r="C431" s="30"/>
      <c r="D431" s="31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30"/>
      <c r="B432" s="30"/>
      <c r="C432" s="30"/>
      <c r="D432" s="31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30"/>
      <c r="B433" s="30"/>
      <c r="C433" s="30"/>
      <c r="D433" s="31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30"/>
      <c r="B434" s="30"/>
      <c r="C434" s="30"/>
      <c r="D434" s="31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30"/>
      <c r="B435" s="30"/>
      <c r="C435" s="30"/>
      <c r="D435" s="31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30"/>
      <c r="B436" s="30"/>
      <c r="C436" s="30"/>
      <c r="D436" s="31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30"/>
      <c r="B437" s="30"/>
      <c r="C437" s="30"/>
      <c r="D437" s="31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30"/>
      <c r="B438" s="30"/>
      <c r="C438" s="30"/>
      <c r="D438" s="31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30"/>
      <c r="B439" s="30"/>
      <c r="C439" s="30"/>
      <c r="D439" s="31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30"/>
      <c r="B440" s="30"/>
      <c r="C440" s="30"/>
      <c r="D440" s="31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30"/>
      <c r="B441" s="30"/>
      <c r="C441" s="30"/>
      <c r="D441" s="31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30"/>
      <c r="B442" s="30"/>
      <c r="C442" s="30"/>
      <c r="D442" s="31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30"/>
      <c r="B443" s="30"/>
      <c r="C443" s="30"/>
      <c r="D443" s="31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30"/>
      <c r="B444" s="30"/>
      <c r="C444" s="30"/>
      <c r="D444" s="31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30"/>
      <c r="B445" s="30"/>
      <c r="C445" s="30"/>
      <c r="D445" s="31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30"/>
      <c r="B446" s="30"/>
      <c r="C446" s="30"/>
      <c r="D446" s="31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30"/>
      <c r="B447" s="30"/>
      <c r="C447" s="30"/>
      <c r="D447" s="31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30"/>
      <c r="B448" s="30"/>
      <c r="C448" s="30"/>
      <c r="D448" s="31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30"/>
      <c r="B449" s="30"/>
      <c r="C449" s="30"/>
      <c r="D449" s="31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30"/>
      <c r="B450" s="30"/>
      <c r="C450" s="30"/>
      <c r="D450" s="31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30"/>
      <c r="B451" s="30"/>
      <c r="C451" s="30"/>
      <c r="D451" s="31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30"/>
      <c r="B452" s="30"/>
      <c r="C452" s="30"/>
      <c r="D452" s="31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30"/>
      <c r="B453" s="30"/>
      <c r="C453" s="30"/>
      <c r="D453" s="31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30"/>
      <c r="B454" s="30"/>
      <c r="C454" s="30"/>
      <c r="D454" s="31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30"/>
      <c r="B455" s="30"/>
      <c r="C455" s="30"/>
      <c r="D455" s="31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30"/>
      <c r="B456" s="30"/>
      <c r="C456" s="30"/>
      <c r="D456" s="31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30"/>
      <c r="B457" s="30"/>
      <c r="C457" s="30"/>
      <c r="D457" s="31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30"/>
      <c r="B458" s="30"/>
      <c r="C458" s="30"/>
      <c r="D458" s="31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30"/>
      <c r="B459" s="30"/>
      <c r="C459" s="30"/>
      <c r="D459" s="31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30"/>
      <c r="B460" s="30"/>
      <c r="C460" s="30"/>
      <c r="D460" s="31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30"/>
      <c r="B461" s="30"/>
      <c r="C461" s="30"/>
      <c r="D461" s="31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30"/>
      <c r="B462" s="30"/>
      <c r="C462" s="30"/>
      <c r="D462" s="31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30"/>
      <c r="B463" s="30"/>
      <c r="C463" s="30"/>
      <c r="D463" s="31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30"/>
      <c r="B464" s="30"/>
      <c r="C464" s="30"/>
      <c r="D464" s="31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30"/>
      <c r="B465" s="30"/>
      <c r="C465" s="30"/>
      <c r="D465" s="31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30"/>
      <c r="B466" s="30"/>
      <c r="C466" s="30"/>
      <c r="D466" s="31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30"/>
      <c r="B467" s="30"/>
      <c r="C467" s="30"/>
      <c r="D467" s="31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30"/>
      <c r="B468" s="30"/>
      <c r="C468" s="30"/>
      <c r="D468" s="31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30"/>
      <c r="B469" s="30"/>
      <c r="C469" s="30"/>
      <c r="D469" s="31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30"/>
      <c r="B470" s="30"/>
      <c r="C470" s="30"/>
      <c r="D470" s="31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30"/>
      <c r="B471" s="30"/>
      <c r="C471" s="30"/>
      <c r="D471" s="31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30"/>
      <c r="B472" s="30"/>
      <c r="C472" s="30"/>
      <c r="D472" s="31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30"/>
      <c r="B473" s="30"/>
      <c r="C473" s="30"/>
      <c r="D473" s="31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30"/>
      <c r="B474" s="30"/>
      <c r="C474" s="30"/>
      <c r="D474" s="31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30"/>
      <c r="B475" s="30"/>
      <c r="C475" s="30"/>
      <c r="D475" s="31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30"/>
      <c r="B476" s="30"/>
      <c r="C476" s="30"/>
      <c r="D476" s="31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30"/>
      <c r="B477" s="30"/>
      <c r="C477" s="30"/>
      <c r="D477" s="31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30"/>
      <c r="B478" s="30"/>
      <c r="C478" s="30"/>
      <c r="D478" s="31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30"/>
      <c r="B479" s="30"/>
      <c r="C479" s="30"/>
      <c r="D479" s="31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30"/>
      <c r="B480" s="30"/>
      <c r="C480" s="30"/>
      <c r="D480" s="31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30"/>
      <c r="B481" s="30"/>
      <c r="C481" s="30"/>
      <c r="D481" s="31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30"/>
      <c r="B482" s="30"/>
      <c r="C482" s="30"/>
      <c r="D482" s="31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30"/>
      <c r="B483" s="30"/>
      <c r="C483" s="30"/>
      <c r="D483" s="31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30"/>
      <c r="B484" s="30"/>
      <c r="C484" s="30"/>
      <c r="D484" s="31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30"/>
      <c r="B485" s="30"/>
      <c r="C485" s="30"/>
      <c r="D485" s="31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30"/>
      <c r="B486" s="30"/>
      <c r="C486" s="30"/>
      <c r="D486" s="31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30"/>
      <c r="B487" s="30"/>
      <c r="C487" s="30"/>
      <c r="D487" s="31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30"/>
      <c r="B488" s="30"/>
      <c r="C488" s="30"/>
      <c r="D488" s="31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30"/>
      <c r="B489" s="30"/>
      <c r="C489" s="30"/>
      <c r="D489" s="31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30"/>
      <c r="B490" s="30"/>
      <c r="C490" s="30"/>
      <c r="D490" s="31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30"/>
      <c r="B491" s="30"/>
      <c r="C491" s="30"/>
      <c r="D491" s="31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30"/>
      <c r="B492" s="30"/>
      <c r="C492" s="30"/>
      <c r="D492" s="31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30"/>
      <c r="B493" s="30"/>
      <c r="C493" s="30"/>
      <c r="D493" s="31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30"/>
      <c r="B494" s="30"/>
      <c r="C494" s="30"/>
      <c r="D494" s="31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30"/>
      <c r="B495" s="30"/>
      <c r="C495" s="30"/>
      <c r="D495" s="31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30"/>
      <c r="B496" s="30"/>
      <c r="C496" s="30"/>
      <c r="D496" s="31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30"/>
      <c r="B497" s="30"/>
      <c r="C497" s="30"/>
      <c r="D497" s="31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30"/>
      <c r="B498" s="30"/>
      <c r="C498" s="30"/>
      <c r="D498" s="31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30"/>
      <c r="B499" s="30"/>
      <c r="C499" s="30"/>
      <c r="D499" s="31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30"/>
      <c r="B500" s="30"/>
      <c r="C500" s="30"/>
      <c r="D500" s="31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30"/>
      <c r="B501" s="30"/>
      <c r="C501" s="30"/>
      <c r="D501" s="31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30"/>
      <c r="B502" s="30"/>
      <c r="C502" s="30"/>
      <c r="D502" s="31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30"/>
      <c r="B503" s="30"/>
      <c r="C503" s="30"/>
      <c r="D503" s="31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30"/>
      <c r="B504" s="30"/>
      <c r="C504" s="30"/>
      <c r="D504" s="31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30"/>
      <c r="B505" s="30"/>
      <c r="C505" s="30"/>
      <c r="D505" s="31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30"/>
      <c r="B506" s="30"/>
      <c r="C506" s="30"/>
      <c r="D506" s="31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30"/>
      <c r="B507" s="30"/>
      <c r="C507" s="30"/>
      <c r="D507" s="31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30"/>
      <c r="B508" s="30"/>
      <c r="C508" s="30"/>
      <c r="D508" s="31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30"/>
      <c r="B509" s="30"/>
      <c r="C509" s="30"/>
      <c r="D509" s="31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30"/>
      <c r="B510" s="30"/>
      <c r="C510" s="30"/>
      <c r="D510" s="31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30"/>
      <c r="B511" s="30"/>
      <c r="C511" s="30"/>
      <c r="D511" s="31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30"/>
      <c r="B512" s="30"/>
      <c r="C512" s="30"/>
      <c r="D512" s="31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30"/>
      <c r="B513" s="30"/>
      <c r="C513" s="30"/>
      <c r="D513" s="31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30"/>
      <c r="B514" s="30"/>
      <c r="C514" s="30"/>
      <c r="D514" s="31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30"/>
      <c r="B515" s="30"/>
      <c r="C515" s="30"/>
      <c r="D515" s="31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30"/>
      <c r="B516" s="30"/>
      <c r="C516" s="30"/>
      <c r="D516" s="31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30"/>
      <c r="B517" s="30"/>
      <c r="C517" s="30"/>
      <c r="D517" s="31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30"/>
      <c r="B518" s="30"/>
      <c r="C518" s="30"/>
      <c r="D518" s="31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30"/>
      <c r="B519" s="30"/>
      <c r="C519" s="30"/>
      <c r="D519" s="31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30"/>
      <c r="B520" s="30"/>
      <c r="C520" s="30"/>
      <c r="D520" s="31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30"/>
      <c r="B521" s="30"/>
      <c r="C521" s="30"/>
      <c r="D521" s="31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30"/>
      <c r="B522" s="30"/>
      <c r="C522" s="30"/>
      <c r="D522" s="31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30"/>
      <c r="B523" s="30"/>
      <c r="C523" s="30"/>
      <c r="D523" s="31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30"/>
      <c r="B524" s="30"/>
      <c r="C524" s="30"/>
      <c r="D524" s="31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30"/>
      <c r="B525" s="30"/>
      <c r="C525" s="30"/>
      <c r="D525" s="31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30"/>
      <c r="B526" s="30"/>
      <c r="C526" s="30"/>
      <c r="D526" s="31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30"/>
      <c r="B527" s="30"/>
      <c r="C527" s="30"/>
      <c r="D527" s="31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30"/>
      <c r="B528" s="30"/>
      <c r="C528" s="30"/>
      <c r="D528" s="31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30"/>
      <c r="B529" s="30"/>
      <c r="C529" s="30"/>
      <c r="D529" s="31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30"/>
      <c r="B530" s="30"/>
      <c r="C530" s="30"/>
      <c r="D530" s="31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30"/>
      <c r="B531" s="30"/>
      <c r="C531" s="30"/>
      <c r="D531" s="31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30"/>
      <c r="B532" s="30"/>
      <c r="C532" s="30"/>
      <c r="D532" s="31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30"/>
      <c r="B533" s="30"/>
      <c r="C533" s="30"/>
      <c r="D533" s="31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30"/>
      <c r="B534" s="30"/>
      <c r="C534" s="30"/>
      <c r="D534" s="31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30"/>
      <c r="B535" s="30"/>
      <c r="C535" s="30"/>
      <c r="D535" s="31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30"/>
      <c r="B536" s="30"/>
      <c r="C536" s="30"/>
      <c r="D536" s="31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30"/>
      <c r="B537" s="30"/>
      <c r="C537" s="30"/>
      <c r="D537" s="31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30"/>
      <c r="B538" s="30"/>
      <c r="C538" s="30"/>
      <c r="D538" s="31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30"/>
      <c r="B539" s="30"/>
      <c r="C539" s="30"/>
      <c r="D539" s="31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30"/>
      <c r="B540" s="30"/>
      <c r="C540" s="30"/>
      <c r="D540" s="31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30"/>
      <c r="B541" s="30"/>
      <c r="C541" s="30"/>
      <c r="D541" s="31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30"/>
      <c r="B542" s="30"/>
      <c r="C542" s="30"/>
      <c r="D542" s="31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30"/>
      <c r="B543" s="30"/>
      <c r="C543" s="30"/>
      <c r="D543" s="31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30"/>
      <c r="B544" s="30"/>
      <c r="C544" s="30"/>
      <c r="D544" s="31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30"/>
      <c r="B545" s="30"/>
      <c r="C545" s="30"/>
      <c r="D545" s="31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30"/>
      <c r="B546" s="30"/>
      <c r="C546" s="30"/>
      <c r="D546" s="31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30"/>
      <c r="B547" s="30"/>
      <c r="C547" s="30"/>
      <c r="D547" s="31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30"/>
      <c r="B548" s="30"/>
      <c r="C548" s="30"/>
      <c r="D548" s="31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30"/>
      <c r="B549" s="30"/>
      <c r="C549" s="30"/>
      <c r="D549" s="31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30"/>
      <c r="B550" s="30"/>
      <c r="C550" s="30"/>
      <c r="D550" s="31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30"/>
      <c r="B551" s="30"/>
      <c r="C551" s="30"/>
      <c r="D551" s="31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30"/>
      <c r="B552" s="30"/>
      <c r="C552" s="30"/>
      <c r="D552" s="31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30"/>
      <c r="B553" s="30"/>
      <c r="C553" s="30"/>
      <c r="D553" s="31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30"/>
      <c r="B554" s="30"/>
      <c r="C554" s="30"/>
      <c r="D554" s="31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30"/>
      <c r="B555" s="30"/>
      <c r="C555" s="30"/>
      <c r="D555" s="31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30"/>
      <c r="B556" s="30"/>
      <c r="C556" s="30"/>
      <c r="D556" s="31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30"/>
      <c r="B557" s="30"/>
      <c r="C557" s="30"/>
      <c r="D557" s="31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30"/>
      <c r="B558" s="30"/>
      <c r="C558" s="30"/>
      <c r="D558" s="31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30"/>
      <c r="B559" s="30"/>
      <c r="C559" s="30"/>
      <c r="D559" s="31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30"/>
      <c r="B560" s="30"/>
      <c r="C560" s="30"/>
      <c r="D560" s="31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30"/>
      <c r="B561" s="30"/>
      <c r="C561" s="30"/>
      <c r="D561" s="31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30"/>
      <c r="B562" s="30"/>
      <c r="C562" s="30"/>
      <c r="D562" s="31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30"/>
      <c r="B563" s="30"/>
      <c r="C563" s="30"/>
      <c r="D563" s="31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30"/>
      <c r="B564" s="30"/>
      <c r="C564" s="30"/>
      <c r="D564" s="31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30"/>
      <c r="B565" s="30"/>
      <c r="C565" s="30"/>
      <c r="D565" s="31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30"/>
      <c r="B566" s="30"/>
      <c r="C566" s="30"/>
      <c r="D566" s="31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30"/>
      <c r="B567" s="30"/>
      <c r="C567" s="30"/>
      <c r="D567" s="31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30"/>
      <c r="B568" s="30"/>
      <c r="C568" s="30"/>
      <c r="D568" s="31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30"/>
      <c r="B569" s="30"/>
      <c r="C569" s="30"/>
      <c r="D569" s="31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30"/>
      <c r="B570" s="30"/>
      <c r="C570" s="30"/>
      <c r="D570" s="31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30"/>
      <c r="B571" s="30"/>
      <c r="C571" s="30"/>
      <c r="D571" s="31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30"/>
      <c r="B572" s="30"/>
      <c r="C572" s="30"/>
      <c r="D572" s="31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30"/>
      <c r="B573" s="30"/>
      <c r="C573" s="30"/>
      <c r="D573" s="31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30"/>
      <c r="B574" s="30"/>
      <c r="C574" s="30"/>
      <c r="D574" s="31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30"/>
      <c r="B575" s="30"/>
      <c r="C575" s="30"/>
      <c r="D575" s="31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30"/>
      <c r="B576" s="30"/>
      <c r="C576" s="30"/>
      <c r="D576" s="31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30"/>
      <c r="B577" s="30"/>
      <c r="C577" s="30"/>
      <c r="D577" s="31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30"/>
      <c r="B578" s="30"/>
      <c r="C578" s="30"/>
      <c r="D578" s="31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30"/>
      <c r="B579" s="30"/>
      <c r="C579" s="30"/>
      <c r="D579" s="31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30"/>
      <c r="B580" s="30"/>
      <c r="C580" s="30"/>
      <c r="D580" s="31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30"/>
      <c r="B581" s="30"/>
      <c r="C581" s="30"/>
      <c r="D581" s="31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30"/>
      <c r="B582" s="30"/>
      <c r="C582" s="30"/>
      <c r="D582" s="31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30"/>
      <c r="B583" s="30"/>
      <c r="C583" s="30"/>
      <c r="D583" s="31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30"/>
      <c r="B584" s="30"/>
      <c r="C584" s="30"/>
      <c r="D584" s="31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30"/>
      <c r="B585" s="30"/>
      <c r="C585" s="30"/>
      <c r="D585" s="31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30"/>
      <c r="B586" s="30"/>
      <c r="C586" s="30"/>
      <c r="D586" s="31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30"/>
      <c r="B587" s="30"/>
      <c r="C587" s="30"/>
      <c r="D587" s="31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30"/>
      <c r="B588" s="30"/>
      <c r="C588" s="30"/>
      <c r="D588" s="31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30"/>
      <c r="B589" s="30"/>
      <c r="C589" s="30"/>
      <c r="D589" s="31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30"/>
      <c r="B590" s="30"/>
      <c r="C590" s="30"/>
      <c r="D590" s="31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30"/>
      <c r="B591" s="30"/>
      <c r="C591" s="30"/>
      <c r="D591" s="31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30"/>
      <c r="B592" s="30"/>
      <c r="C592" s="30"/>
      <c r="D592" s="31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30"/>
      <c r="B593" s="30"/>
      <c r="C593" s="30"/>
      <c r="D593" s="31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30"/>
      <c r="B594" s="30"/>
      <c r="C594" s="30"/>
      <c r="D594" s="31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30"/>
      <c r="B595" s="30"/>
      <c r="C595" s="30"/>
      <c r="D595" s="31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30"/>
      <c r="B596" s="30"/>
      <c r="C596" s="30"/>
      <c r="D596" s="31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30"/>
      <c r="B597" s="30"/>
      <c r="C597" s="30"/>
      <c r="D597" s="31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30"/>
      <c r="B598" s="30"/>
      <c r="C598" s="30"/>
      <c r="D598" s="31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30"/>
      <c r="B599" s="30"/>
      <c r="C599" s="30"/>
      <c r="D599" s="31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30"/>
      <c r="B600" s="30"/>
      <c r="C600" s="30"/>
      <c r="D600" s="31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30"/>
      <c r="B601" s="30"/>
      <c r="C601" s="30"/>
      <c r="D601" s="31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30"/>
      <c r="B602" s="30"/>
      <c r="C602" s="30"/>
      <c r="D602" s="31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30"/>
      <c r="B603" s="30"/>
      <c r="C603" s="30"/>
      <c r="D603" s="31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30"/>
      <c r="B604" s="30"/>
      <c r="C604" s="30"/>
      <c r="D604" s="31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30"/>
      <c r="B605" s="30"/>
      <c r="C605" s="30"/>
      <c r="D605" s="31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30"/>
      <c r="B606" s="30"/>
      <c r="C606" s="30"/>
      <c r="D606" s="31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30"/>
      <c r="B607" s="30"/>
      <c r="C607" s="30"/>
      <c r="D607" s="31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30"/>
      <c r="B608" s="30"/>
      <c r="C608" s="30"/>
      <c r="D608" s="31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30"/>
      <c r="B609" s="30"/>
      <c r="C609" s="30"/>
      <c r="D609" s="31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30"/>
      <c r="B610" s="30"/>
      <c r="C610" s="30"/>
      <c r="D610" s="31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30"/>
      <c r="B611" s="30"/>
      <c r="C611" s="30"/>
      <c r="D611" s="31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30"/>
      <c r="B612" s="30"/>
      <c r="C612" s="30"/>
      <c r="D612" s="31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30"/>
      <c r="B613" s="30"/>
      <c r="C613" s="30"/>
      <c r="D613" s="31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30"/>
      <c r="B614" s="30"/>
      <c r="C614" s="30"/>
      <c r="D614" s="31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30"/>
      <c r="B615" s="30"/>
      <c r="C615" s="30"/>
      <c r="D615" s="31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30"/>
      <c r="B616" s="30"/>
      <c r="C616" s="30"/>
      <c r="D616" s="31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30"/>
      <c r="B617" s="30"/>
      <c r="C617" s="30"/>
      <c r="D617" s="31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30"/>
      <c r="B618" s="30"/>
      <c r="C618" s="30"/>
      <c r="D618" s="31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30"/>
      <c r="B619" s="30"/>
      <c r="C619" s="30"/>
      <c r="D619" s="31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30"/>
      <c r="B620" s="30"/>
      <c r="C620" s="30"/>
      <c r="D620" s="31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30"/>
      <c r="B621" s="30"/>
      <c r="C621" s="30"/>
      <c r="D621" s="31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30"/>
      <c r="B622" s="30"/>
      <c r="C622" s="30"/>
      <c r="D622" s="31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30"/>
      <c r="B623" s="30"/>
      <c r="C623" s="30"/>
      <c r="D623" s="31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30"/>
      <c r="B624" s="30"/>
      <c r="C624" s="30"/>
      <c r="D624" s="31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30"/>
      <c r="B625" s="30"/>
      <c r="C625" s="30"/>
      <c r="D625" s="31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30"/>
      <c r="B626" s="30"/>
      <c r="C626" s="30"/>
      <c r="D626" s="31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30"/>
      <c r="B627" s="30"/>
      <c r="C627" s="30"/>
      <c r="D627" s="31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30"/>
      <c r="B628" s="30"/>
      <c r="C628" s="30"/>
      <c r="D628" s="31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30"/>
      <c r="B629" s="30"/>
      <c r="C629" s="30"/>
      <c r="D629" s="31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30"/>
      <c r="B630" s="30"/>
      <c r="C630" s="30"/>
      <c r="D630" s="31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30"/>
      <c r="B631" s="30"/>
      <c r="C631" s="30"/>
      <c r="D631" s="31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30"/>
      <c r="B632" s="30"/>
      <c r="C632" s="30"/>
      <c r="D632" s="31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30"/>
      <c r="B633" s="30"/>
      <c r="C633" s="30"/>
      <c r="D633" s="31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30"/>
      <c r="B634" s="30"/>
      <c r="C634" s="30"/>
      <c r="D634" s="31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30"/>
      <c r="B635" s="30"/>
      <c r="C635" s="30"/>
      <c r="D635" s="31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30"/>
      <c r="B636" s="30"/>
      <c r="C636" s="30"/>
      <c r="D636" s="31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30"/>
      <c r="B637" s="30"/>
      <c r="C637" s="30"/>
      <c r="D637" s="31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30"/>
      <c r="B638" s="30"/>
      <c r="C638" s="30"/>
      <c r="D638" s="31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30"/>
      <c r="B639" s="30"/>
      <c r="C639" s="30"/>
      <c r="D639" s="31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30"/>
      <c r="B640" s="30"/>
      <c r="C640" s="30"/>
      <c r="D640" s="31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30"/>
      <c r="B641" s="30"/>
      <c r="C641" s="30"/>
      <c r="D641" s="31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30"/>
      <c r="B642" s="30"/>
      <c r="C642" s="30"/>
      <c r="D642" s="31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30"/>
      <c r="B643" s="30"/>
      <c r="C643" s="30"/>
      <c r="D643" s="31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30"/>
      <c r="B644" s="30"/>
      <c r="C644" s="30"/>
      <c r="D644" s="31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30"/>
      <c r="B645" s="30"/>
      <c r="C645" s="30"/>
      <c r="D645" s="31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30"/>
      <c r="B646" s="30"/>
      <c r="C646" s="30"/>
      <c r="D646" s="31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30"/>
      <c r="B647" s="30"/>
      <c r="C647" s="30"/>
      <c r="D647" s="31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30"/>
      <c r="B648" s="30"/>
      <c r="C648" s="30"/>
      <c r="D648" s="31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30"/>
      <c r="B649" s="30"/>
      <c r="C649" s="30"/>
      <c r="D649" s="31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30"/>
      <c r="B650" s="30"/>
      <c r="C650" s="30"/>
      <c r="D650" s="31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30"/>
      <c r="B651" s="30"/>
      <c r="C651" s="30"/>
      <c r="D651" s="31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30"/>
      <c r="B652" s="30"/>
      <c r="C652" s="30"/>
      <c r="D652" s="31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30"/>
      <c r="B653" s="30"/>
      <c r="C653" s="30"/>
      <c r="D653" s="31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30"/>
      <c r="B654" s="30"/>
      <c r="C654" s="30"/>
      <c r="D654" s="31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30"/>
      <c r="B655" s="30"/>
      <c r="C655" s="30"/>
      <c r="D655" s="31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30"/>
      <c r="B656" s="30"/>
      <c r="C656" s="30"/>
      <c r="D656" s="31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30"/>
      <c r="B657" s="30"/>
      <c r="C657" s="30"/>
      <c r="D657" s="31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30"/>
      <c r="B658" s="30"/>
      <c r="C658" s="30"/>
      <c r="D658" s="31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30"/>
      <c r="B659" s="30"/>
      <c r="C659" s="30"/>
      <c r="D659" s="31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30"/>
      <c r="B660" s="30"/>
      <c r="C660" s="30"/>
      <c r="D660" s="31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30"/>
      <c r="B661" s="30"/>
      <c r="C661" s="30"/>
      <c r="D661" s="31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30"/>
      <c r="B662" s="30"/>
      <c r="C662" s="30"/>
      <c r="D662" s="31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30"/>
      <c r="B663" s="30"/>
      <c r="C663" s="30"/>
      <c r="D663" s="31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30"/>
      <c r="B664" s="30"/>
      <c r="C664" s="30"/>
      <c r="D664" s="31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30"/>
      <c r="B665" s="30"/>
      <c r="C665" s="30"/>
      <c r="D665" s="31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30"/>
      <c r="B666" s="30"/>
      <c r="C666" s="30"/>
      <c r="D666" s="31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30"/>
      <c r="B667" s="30"/>
      <c r="C667" s="30"/>
      <c r="D667" s="31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30"/>
      <c r="B668" s="30"/>
      <c r="C668" s="30"/>
      <c r="D668" s="31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30"/>
      <c r="B669" s="30"/>
      <c r="C669" s="30"/>
      <c r="D669" s="31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30"/>
      <c r="B670" s="30"/>
      <c r="C670" s="30"/>
      <c r="D670" s="31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30"/>
      <c r="B671" s="30"/>
      <c r="C671" s="30"/>
      <c r="D671" s="31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30"/>
      <c r="B672" s="30"/>
      <c r="C672" s="30"/>
      <c r="D672" s="31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30"/>
      <c r="B673" s="30"/>
      <c r="C673" s="30"/>
      <c r="D673" s="31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30"/>
      <c r="B674" s="30"/>
      <c r="C674" s="30"/>
      <c r="D674" s="31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30"/>
      <c r="B675" s="30"/>
      <c r="C675" s="30"/>
      <c r="D675" s="31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30"/>
      <c r="B676" s="30"/>
      <c r="C676" s="30"/>
      <c r="D676" s="31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30"/>
      <c r="B677" s="30"/>
      <c r="C677" s="30"/>
      <c r="D677" s="31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30"/>
      <c r="B678" s="30"/>
      <c r="C678" s="30"/>
      <c r="D678" s="31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30"/>
      <c r="B679" s="30"/>
      <c r="C679" s="30"/>
      <c r="D679" s="31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30"/>
      <c r="B680" s="30"/>
      <c r="C680" s="30"/>
      <c r="D680" s="31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30"/>
      <c r="B681" s="30"/>
      <c r="C681" s="30"/>
      <c r="D681" s="31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30"/>
      <c r="B682" s="30"/>
      <c r="C682" s="30"/>
      <c r="D682" s="31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30"/>
      <c r="B683" s="30"/>
      <c r="C683" s="30"/>
      <c r="D683" s="31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30"/>
      <c r="B684" s="30"/>
      <c r="C684" s="30"/>
      <c r="D684" s="31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30"/>
      <c r="B685" s="30"/>
      <c r="C685" s="30"/>
      <c r="D685" s="31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30"/>
      <c r="B686" s="30"/>
      <c r="C686" s="30"/>
      <c r="D686" s="31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30"/>
      <c r="B687" s="30"/>
      <c r="C687" s="30"/>
      <c r="D687" s="31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30"/>
      <c r="B688" s="30"/>
      <c r="C688" s="30"/>
      <c r="D688" s="31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30"/>
      <c r="B689" s="30"/>
      <c r="C689" s="30"/>
      <c r="D689" s="31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30"/>
      <c r="B690" s="30"/>
      <c r="C690" s="30"/>
      <c r="D690" s="31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30"/>
      <c r="B691" s="30"/>
      <c r="C691" s="30"/>
      <c r="D691" s="31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30"/>
      <c r="B692" s="30"/>
      <c r="C692" s="30"/>
      <c r="D692" s="31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30"/>
      <c r="B693" s="30"/>
      <c r="C693" s="30"/>
      <c r="D693" s="31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30"/>
      <c r="B694" s="30"/>
      <c r="C694" s="30"/>
      <c r="D694" s="31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30"/>
      <c r="B695" s="30"/>
      <c r="C695" s="30"/>
      <c r="D695" s="31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30"/>
      <c r="B696" s="30"/>
      <c r="C696" s="30"/>
      <c r="D696" s="31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30"/>
      <c r="B697" s="30"/>
      <c r="C697" s="30"/>
      <c r="D697" s="31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30"/>
      <c r="B698" s="30"/>
      <c r="C698" s="30"/>
      <c r="D698" s="31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30"/>
      <c r="B699" s="30"/>
      <c r="C699" s="30"/>
      <c r="D699" s="31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30"/>
      <c r="B700" s="30"/>
      <c r="C700" s="30"/>
      <c r="D700" s="31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30"/>
      <c r="B701" s="30"/>
      <c r="C701" s="30"/>
      <c r="D701" s="31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30"/>
      <c r="B702" s="30"/>
      <c r="C702" s="30"/>
      <c r="D702" s="31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30"/>
      <c r="B703" s="30"/>
      <c r="C703" s="30"/>
      <c r="D703" s="31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30"/>
      <c r="B704" s="30"/>
      <c r="C704" s="30"/>
      <c r="D704" s="31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30"/>
      <c r="B705" s="30"/>
      <c r="C705" s="30"/>
      <c r="D705" s="31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30"/>
      <c r="B706" s="30"/>
      <c r="C706" s="30"/>
      <c r="D706" s="31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30"/>
      <c r="B707" s="30"/>
      <c r="C707" s="30"/>
      <c r="D707" s="31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30"/>
      <c r="B708" s="30"/>
      <c r="C708" s="30"/>
      <c r="D708" s="31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30"/>
      <c r="B709" s="30"/>
      <c r="C709" s="30"/>
      <c r="D709" s="31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30"/>
      <c r="B710" s="30"/>
      <c r="C710" s="30"/>
      <c r="D710" s="31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30"/>
      <c r="B711" s="30"/>
      <c r="C711" s="30"/>
      <c r="D711" s="31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30"/>
      <c r="B712" s="30"/>
      <c r="C712" s="30"/>
      <c r="D712" s="31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30"/>
      <c r="B713" s="30"/>
      <c r="C713" s="30"/>
      <c r="D713" s="31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30"/>
      <c r="B714" s="30"/>
      <c r="C714" s="30"/>
      <c r="D714" s="31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30"/>
      <c r="B715" s="30"/>
      <c r="C715" s="30"/>
      <c r="D715" s="31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30"/>
      <c r="B716" s="30"/>
      <c r="C716" s="30"/>
      <c r="D716" s="31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30"/>
      <c r="B717" s="30"/>
      <c r="C717" s="30"/>
      <c r="D717" s="31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30"/>
      <c r="B718" s="30"/>
      <c r="C718" s="30"/>
      <c r="D718" s="31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30"/>
      <c r="B719" s="30"/>
      <c r="C719" s="30"/>
      <c r="D719" s="31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30"/>
      <c r="B720" s="30"/>
      <c r="C720" s="30"/>
      <c r="D720" s="31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30"/>
      <c r="B721" s="30"/>
      <c r="C721" s="30"/>
      <c r="D721" s="31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30"/>
      <c r="B722" s="30"/>
      <c r="C722" s="30"/>
      <c r="D722" s="31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30"/>
      <c r="B723" s="30"/>
      <c r="C723" s="30"/>
      <c r="D723" s="31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30"/>
      <c r="B724" s="30"/>
      <c r="C724" s="30"/>
      <c r="D724" s="31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30"/>
      <c r="B725" s="30"/>
      <c r="C725" s="30"/>
      <c r="D725" s="31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30"/>
      <c r="B726" s="30"/>
      <c r="C726" s="30"/>
      <c r="D726" s="31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30"/>
      <c r="B727" s="30"/>
      <c r="C727" s="30"/>
      <c r="D727" s="31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30"/>
      <c r="B728" s="30"/>
      <c r="C728" s="30"/>
      <c r="D728" s="31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30"/>
      <c r="B729" s="30"/>
      <c r="C729" s="30"/>
      <c r="D729" s="31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30"/>
      <c r="B730" s="30"/>
      <c r="C730" s="30"/>
      <c r="D730" s="31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30"/>
      <c r="B731" s="30"/>
      <c r="C731" s="30"/>
      <c r="D731" s="31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30"/>
      <c r="B732" s="30"/>
      <c r="C732" s="30"/>
      <c r="D732" s="31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30"/>
      <c r="B733" s="30"/>
      <c r="C733" s="30"/>
      <c r="D733" s="31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30"/>
      <c r="B734" s="30"/>
      <c r="C734" s="30"/>
      <c r="D734" s="31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30"/>
      <c r="B735" s="30"/>
      <c r="C735" s="30"/>
      <c r="D735" s="31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30"/>
      <c r="B736" s="30"/>
      <c r="C736" s="30"/>
      <c r="D736" s="31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30"/>
      <c r="B737" s="30"/>
      <c r="C737" s="30"/>
      <c r="D737" s="31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30"/>
      <c r="B738" s="30"/>
      <c r="C738" s="30"/>
      <c r="D738" s="31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30"/>
      <c r="B739" s="30"/>
      <c r="C739" s="30"/>
      <c r="D739" s="31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30"/>
      <c r="B740" s="30"/>
      <c r="C740" s="30"/>
      <c r="D740" s="31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30"/>
      <c r="B741" s="30"/>
      <c r="C741" s="30"/>
      <c r="D741" s="31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30"/>
      <c r="B742" s="30"/>
      <c r="C742" s="30"/>
      <c r="D742" s="31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30"/>
      <c r="B743" s="30"/>
      <c r="C743" s="30"/>
      <c r="D743" s="31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30"/>
      <c r="B744" s="30"/>
      <c r="C744" s="30"/>
      <c r="D744" s="31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30"/>
      <c r="B745" s="30"/>
      <c r="C745" s="30"/>
      <c r="D745" s="31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30"/>
      <c r="B746" s="30"/>
      <c r="C746" s="30"/>
      <c r="D746" s="31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30"/>
      <c r="B747" s="30"/>
      <c r="C747" s="30"/>
      <c r="D747" s="31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30"/>
      <c r="B748" s="30"/>
      <c r="C748" s="30"/>
      <c r="D748" s="31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30"/>
      <c r="B749" s="30"/>
      <c r="C749" s="30"/>
      <c r="D749" s="31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30"/>
      <c r="B750" s="30"/>
      <c r="C750" s="30"/>
      <c r="D750" s="31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30"/>
      <c r="B751" s="30"/>
      <c r="C751" s="30"/>
      <c r="D751" s="31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30"/>
      <c r="B752" s="30"/>
      <c r="C752" s="30"/>
      <c r="D752" s="31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30"/>
      <c r="B753" s="30"/>
      <c r="C753" s="30"/>
      <c r="D753" s="31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30"/>
      <c r="B754" s="30"/>
      <c r="C754" s="30"/>
      <c r="D754" s="31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30"/>
      <c r="B755" s="30"/>
      <c r="C755" s="30"/>
      <c r="D755" s="31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30"/>
      <c r="B756" s="30"/>
      <c r="C756" s="30"/>
      <c r="D756" s="31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30"/>
      <c r="B757" s="30"/>
      <c r="C757" s="30"/>
      <c r="D757" s="31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30"/>
      <c r="B758" s="30"/>
      <c r="C758" s="30"/>
      <c r="D758" s="31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30"/>
      <c r="B759" s="30"/>
      <c r="C759" s="30"/>
      <c r="D759" s="31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30"/>
      <c r="B760" s="30"/>
      <c r="C760" s="30"/>
      <c r="D760" s="31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30"/>
      <c r="B761" s="30"/>
      <c r="C761" s="30"/>
      <c r="D761" s="31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30"/>
      <c r="B762" s="30"/>
      <c r="C762" s="30"/>
      <c r="D762" s="31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30"/>
      <c r="B763" s="30"/>
      <c r="C763" s="30"/>
      <c r="D763" s="31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30"/>
      <c r="B764" s="30"/>
      <c r="C764" s="30"/>
      <c r="D764" s="31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30"/>
      <c r="B765" s="30"/>
      <c r="C765" s="30"/>
      <c r="D765" s="31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30"/>
      <c r="B766" s="30"/>
      <c r="C766" s="30"/>
      <c r="D766" s="31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30"/>
      <c r="B767" s="30"/>
      <c r="C767" s="30"/>
      <c r="D767" s="31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30"/>
      <c r="B768" s="30"/>
      <c r="C768" s="30"/>
      <c r="D768" s="31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30"/>
      <c r="B769" s="30"/>
      <c r="C769" s="30"/>
      <c r="D769" s="31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30"/>
      <c r="B770" s="30"/>
      <c r="C770" s="30"/>
      <c r="D770" s="31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30"/>
      <c r="B771" s="30"/>
      <c r="C771" s="30"/>
      <c r="D771" s="31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30"/>
      <c r="B772" s="30"/>
      <c r="C772" s="30"/>
      <c r="D772" s="31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30"/>
      <c r="B773" s="30"/>
      <c r="C773" s="30"/>
      <c r="D773" s="31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30"/>
      <c r="B774" s="30"/>
      <c r="C774" s="30"/>
      <c r="D774" s="31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30"/>
      <c r="B775" s="30"/>
      <c r="C775" s="30"/>
      <c r="D775" s="31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30"/>
      <c r="B776" s="30"/>
      <c r="C776" s="30"/>
      <c r="D776" s="31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30"/>
      <c r="B777" s="30"/>
      <c r="C777" s="30"/>
      <c r="D777" s="31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30"/>
      <c r="B778" s="30"/>
      <c r="C778" s="30"/>
      <c r="D778" s="31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30"/>
      <c r="B779" s="30"/>
      <c r="C779" s="30"/>
      <c r="D779" s="31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30"/>
      <c r="B780" s="30"/>
      <c r="C780" s="30"/>
      <c r="D780" s="31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30"/>
      <c r="B781" s="30"/>
      <c r="C781" s="30"/>
      <c r="D781" s="31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30"/>
      <c r="B782" s="30"/>
      <c r="C782" s="30"/>
      <c r="D782" s="31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30"/>
      <c r="B783" s="30"/>
      <c r="C783" s="30"/>
      <c r="D783" s="31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30"/>
      <c r="B784" s="30"/>
      <c r="C784" s="30"/>
      <c r="D784" s="31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30"/>
      <c r="B785" s="30"/>
      <c r="C785" s="30"/>
      <c r="D785" s="31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30"/>
      <c r="B786" s="30"/>
      <c r="C786" s="30"/>
      <c r="D786" s="31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30"/>
      <c r="B787" s="30"/>
      <c r="C787" s="30"/>
      <c r="D787" s="31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30"/>
      <c r="B788" s="30"/>
      <c r="C788" s="30"/>
      <c r="D788" s="31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30"/>
      <c r="B789" s="30"/>
      <c r="C789" s="30"/>
      <c r="D789" s="31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30"/>
      <c r="B790" s="30"/>
      <c r="C790" s="30"/>
      <c r="D790" s="31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30"/>
      <c r="B791" s="30"/>
      <c r="C791" s="30"/>
      <c r="D791" s="31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30"/>
      <c r="B792" s="30"/>
      <c r="C792" s="30"/>
      <c r="D792" s="31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30"/>
      <c r="B793" s="30"/>
      <c r="C793" s="30"/>
      <c r="D793" s="31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30"/>
      <c r="B794" s="30"/>
      <c r="C794" s="30"/>
      <c r="D794" s="31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30"/>
      <c r="B795" s="30"/>
      <c r="C795" s="30"/>
      <c r="D795" s="31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30"/>
      <c r="B796" s="30"/>
      <c r="C796" s="30"/>
      <c r="D796" s="31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30"/>
      <c r="B797" s="30"/>
      <c r="C797" s="30"/>
      <c r="D797" s="31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30"/>
      <c r="B798" s="30"/>
      <c r="C798" s="30"/>
      <c r="D798" s="31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30"/>
      <c r="B799" s="30"/>
      <c r="C799" s="30"/>
      <c r="D799" s="31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30"/>
      <c r="B800" s="30"/>
      <c r="C800" s="30"/>
      <c r="D800" s="31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30"/>
      <c r="B801" s="30"/>
      <c r="C801" s="30"/>
      <c r="D801" s="31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30"/>
      <c r="B802" s="30"/>
      <c r="C802" s="30"/>
      <c r="D802" s="31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30"/>
      <c r="B803" s="30"/>
      <c r="C803" s="30"/>
      <c r="D803" s="31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30"/>
      <c r="B804" s="30"/>
      <c r="C804" s="30"/>
      <c r="D804" s="31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30"/>
      <c r="B805" s="30"/>
      <c r="C805" s="30"/>
      <c r="D805" s="31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30"/>
      <c r="B806" s="30"/>
      <c r="C806" s="30"/>
      <c r="D806" s="31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30"/>
      <c r="B807" s="30"/>
      <c r="C807" s="30"/>
      <c r="D807" s="31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30"/>
      <c r="B808" s="30"/>
      <c r="C808" s="30"/>
      <c r="D808" s="31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30"/>
      <c r="B809" s="30"/>
      <c r="C809" s="30"/>
      <c r="D809" s="31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30"/>
      <c r="B810" s="30"/>
      <c r="C810" s="30"/>
      <c r="D810" s="31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30"/>
      <c r="B811" s="30"/>
      <c r="C811" s="30"/>
      <c r="D811" s="31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30"/>
      <c r="B812" s="30"/>
      <c r="C812" s="30"/>
      <c r="D812" s="31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30"/>
      <c r="B813" s="30"/>
      <c r="C813" s="30"/>
      <c r="D813" s="31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30"/>
      <c r="B814" s="30"/>
      <c r="C814" s="30"/>
      <c r="D814" s="31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30"/>
      <c r="B815" s="30"/>
      <c r="C815" s="30"/>
      <c r="D815" s="31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30"/>
      <c r="B816" s="30"/>
      <c r="C816" s="30"/>
      <c r="D816" s="31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30"/>
      <c r="B817" s="30"/>
      <c r="C817" s="30"/>
      <c r="D817" s="31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30"/>
      <c r="B818" s="30"/>
      <c r="C818" s="30"/>
      <c r="D818" s="31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30"/>
      <c r="B819" s="30"/>
      <c r="C819" s="30"/>
      <c r="D819" s="31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30"/>
      <c r="B820" s="30"/>
      <c r="C820" s="30"/>
      <c r="D820" s="31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30"/>
      <c r="B821" s="30"/>
      <c r="C821" s="30"/>
      <c r="D821" s="31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30"/>
      <c r="B822" s="30"/>
      <c r="C822" s="30"/>
      <c r="D822" s="31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30"/>
      <c r="B823" s="30"/>
      <c r="C823" s="30"/>
      <c r="D823" s="31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30"/>
      <c r="B824" s="30"/>
      <c r="C824" s="30"/>
      <c r="D824" s="31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30"/>
      <c r="B825" s="30"/>
      <c r="C825" s="30"/>
      <c r="D825" s="31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30"/>
      <c r="B826" s="30"/>
      <c r="C826" s="30"/>
      <c r="D826" s="31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30"/>
      <c r="B827" s="30"/>
      <c r="C827" s="30"/>
      <c r="D827" s="31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30"/>
      <c r="B828" s="30"/>
      <c r="C828" s="30"/>
      <c r="D828" s="31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30"/>
      <c r="B829" s="30"/>
      <c r="C829" s="30"/>
      <c r="D829" s="31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30"/>
      <c r="B830" s="30"/>
      <c r="C830" s="30"/>
      <c r="D830" s="31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30"/>
      <c r="B831" s="30"/>
      <c r="C831" s="30"/>
      <c r="D831" s="31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30"/>
      <c r="B832" s="30"/>
      <c r="C832" s="30"/>
      <c r="D832" s="31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30"/>
      <c r="B833" s="30"/>
      <c r="C833" s="30"/>
      <c r="D833" s="31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30"/>
      <c r="B834" s="30"/>
      <c r="C834" s="30"/>
      <c r="D834" s="31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30"/>
      <c r="B835" s="30"/>
      <c r="C835" s="30"/>
      <c r="D835" s="31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30"/>
      <c r="B836" s="30"/>
      <c r="C836" s="30"/>
      <c r="D836" s="31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30"/>
      <c r="B837" s="30"/>
      <c r="C837" s="30"/>
      <c r="D837" s="31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30"/>
      <c r="B838" s="30"/>
      <c r="C838" s="30"/>
      <c r="D838" s="31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30"/>
      <c r="B839" s="30"/>
      <c r="C839" s="30"/>
      <c r="D839" s="31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30"/>
      <c r="B840" s="30"/>
      <c r="C840" s="30"/>
      <c r="D840" s="31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30"/>
      <c r="B841" s="30"/>
      <c r="C841" s="30"/>
      <c r="D841" s="31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30"/>
      <c r="B842" s="30"/>
      <c r="C842" s="30"/>
      <c r="D842" s="31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30"/>
      <c r="B843" s="30"/>
      <c r="C843" s="30"/>
      <c r="D843" s="31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30"/>
      <c r="B844" s="30"/>
      <c r="C844" s="30"/>
      <c r="D844" s="31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30"/>
      <c r="B845" s="30"/>
      <c r="C845" s="30"/>
      <c r="D845" s="31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30"/>
      <c r="B846" s="30"/>
      <c r="C846" s="30"/>
      <c r="D846" s="31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30"/>
      <c r="B847" s="30"/>
      <c r="C847" s="30"/>
      <c r="D847" s="31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30"/>
      <c r="B848" s="30"/>
      <c r="C848" s="30"/>
      <c r="D848" s="31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30"/>
      <c r="B849" s="30"/>
      <c r="C849" s="30"/>
      <c r="D849" s="31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30"/>
      <c r="B850" s="30"/>
      <c r="C850" s="30"/>
      <c r="D850" s="31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30"/>
      <c r="B851" s="30"/>
      <c r="C851" s="30"/>
      <c r="D851" s="31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30"/>
      <c r="B852" s="30"/>
      <c r="C852" s="30"/>
      <c r="D852" s="31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30"/>
      <c r="B853" s="30"/>
      <c r="C853" s="30"/>
      <c r="D853" s="31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30"/>
      <c r="B854" s="30"/>
      <c r="C854" s="30"/>
      <c r="D854" s="31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30"/>
      <c r="B855" s="30"/>
      <c r="C855" s="30"/>
      <c r="D855" s="31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30"/>
      <c r="B856" s="30"/>
      <c r="C856" s="30"/>
      <c r="D856" s="31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30"/>
      <c r="B857" s="30"/>
      <c r="C857" s="30"/>
      <c r="D857" s="31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30"/>
      <c r="B858" s="30"/>
      <c r="C858" s="30"/>
      <c r="D858" s="31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30"/>
      <c r="B859" s="30"/>
      <c r="C859" s="30"/>
      <c r="D859" s="31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30"/>
      <c r="B860" s="30"/>
      <c r="C860" s="30"/>
      <c r="D860" s="31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30"/>
      <c r="B861" s="30"/>
      <c r="C861" s="30"/>
      <c r="D861" s="31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30"/>
      <c r="B862" s="30"/>
      <c r="C862" s="30"/>
      <c r="D862" s="31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30"/>
      <c r="B863" s="30"/>
      <c r="C863" s="30"/>
      <c r="D863" s="31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30"/>
      <c r="B864" s="30"/>
      <c r="C864" s="30"/>
      <c r="D864" s="31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30"/>
      <c r="B865" s="30"/>
      <c r="C865" s="30"/>
      <c r="D865" s="31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30"/>
      <c r="B866" s="30"/>
      <c r="C866" s="30"/>
      <c r="D866" s="31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30"/>
      <c r="B867" s="30"/>
      <c r="C867" s="30"/>
      <c r="D867" s="31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30"/>
      <c r="B868" s="30"/>
      <c r="C868" s="30"/>
      <c r="D868" s="31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30"/>
      <c r="B869" s="30"/>
      <c r="C869" s="30"/>
      <c r="D869" s="31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30"/>
      <c r="B870" s="30"/>
      <c r="C870" s="30"/>
      <c r="D870" s="31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30"/>
      <c r="B871" s="30"/>
      <c r="C871" s="30"/>
      <c r="D871" s="31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30"/>
      <c r="B872" s="30"/>
      <c r="C872" s="30"/>
      <c r="D872" s="31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30"/>
      <c r="B873" s="30"/>
      <c r="C873" s="30"/>
      <c r="D873" s="31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30"/>
      <c r="B874" s="30"/>
      <c r="C874" s="30"/>
      <c r="D874" s="31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30"/>
      <c r="B875" s="30"/>
      <c r="C875" s="30"/>
      <c r="D875" s="31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30"/>
      <c r="B876" s="30"/>
      <c r="C876" s="30"/>
      <c r="D876" s="31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30"/>
      <c r="B877" s="30"/>
      <c r="C877" s="30"/>
      <c r="D877" s="31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30"/>
      <c r="B878" s="30"/>
      <c r="C878" s="30"/>
      <c r="D878" s="31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30"/>
      <c r="B879" s="30"/>
      <c r="C879" s="30"/>
      <c r="D879" s="31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30"/>
      <c r="B880" s="30"/>
      <c r="C880" s="30"/>
      <c r="D880" s="31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30"/>
      <c r="B881" s="30"/>
      <c r="C881" s="30"/>
      <c r="D881" s="31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30"/>
      <c r="B882" s="30"/>
      <c r="C882" s="30"/>
      <c r="D882" s="31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30"/>
      <c r="B883" s="30"/>
      <c r="C883" s="30"/>
      <c r="D883" s="31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30"/>
      <c r="B884" s="30"/>
      <c r="C884" s="30"/>
      <c r="D884" s="31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30"/>
      <c r="B885" s="30"/>
      <c r="C885" s="30"/>
      <c r="D885" s="31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30"/>
      <c r="B886" s="30"/>
      <c r="C886" s="30"/>
      <c r="D886" s="31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30"/>
      <c r="B887" s="30"/>
      <c r="C887" s="30"/>
      <c r="D887" s="31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30"/>
      <c r="B888" s="30"/>
      <c r="C888" s="30"/>
      <c r="D888" s="31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30"/>
      <c r="B889" s="30"/>
      <c r="C889" s="30"/>
      <c r="D889" s="31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30"/>
      <c r="B890" s="30"/>
      <c r="C890" s="30"/>
      <c r="D890" s="31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30"/>
      <c r="B891" s="30"/>
      <c r="C891" s="30"/>
      <c r="D891" s="31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30"/>
      <c r="B892" s="30"/>
      <c r="C892" s="30"/>
      <c r="D892" s="31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30"/>
      <c r="B893" s="30"/>
      <c r="C893" s="30"/>
      <c r="D893" s="31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30"/>
      <c r="B894" s="30"/>
      <c r="C894" s="30"/>
      <c r="D894" s="31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30"/>
      <c r="B895" s="30"/>
      <c r="C895" s="30"/>
      <c r="D895" s="31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30"/>
      <c r="B896" s="30"/>
      <c r="C896" s="30"/>
      <c r="D896" s="31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30"/>
      <c r="B897" s="30"/>
      <c r="C897" s="30"/>
      <c r="D897" s="31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30"/>
      <c r="B898" s="30"/>
      <c r="C898" s="30"/>
      <c r="D898" s="31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30"/>
      <c r="B899" s="30"/>
      <c r="C899" s="30"/>
      <c r="D899" s="31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30"/>
      <c r="B900" s="30"/>
      <c r="C900" s="30"/>
      <c r="D900" s="31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30"/>
      <c r="B901" s="30"/>
      <c r="C901" s="30"/>
      <c r="D901" s="31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30"/>
      <c r="B902" s="30"/>
      <c r="C902" s="30"/>
      <c r="D902" s="31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30"/>
      <c r="B903" s="30"/>
      <c r="C903" s="30"/>
      <c r="D903" s="31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30"/>
      <c r="B904" s="30"/>
      <c r="C904" s="30"/>
      <c r="D904" s="31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30"/>
      <c r="B905" s="30"/>
      <c r="C905" s="30"/>
      <c r="D905" s="31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30"/>
      <c r="B906" s="30"/>
      <c r="C906" s="30"/>
      <c r="D906" s="31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30"/>
      <c r="B907" s="30"/>
      <c r="C907" s="30"/>
      <c r="D907" s="31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30"/>
      <c r="B908" s="30"/>
      <c r="C908" s="30"/>
      <c r="D908" s="31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30"/>
      <c r="B909" s="30"/>
      <c r="C909" s="30"/>
      <c r="D909" s="31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30"/>
      <c r="B910" s="30"/>
      <c r="C910" s="30"/>
      <c r="D910" s="31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30"/>
      <c r="B911" s="30"/>
      <c r="C911" s="30"/>
      <c r="D911" s="31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30"/>
      <c r="B912" s="30"/>
      <c r="C912" s="30"/>
      <c r="D912" s="31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30"/>
      <c r="B913" s="30"/>
      <c r="C913" s="30"/>
      <c r="D913" s="31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30"/>
      <c r="B914" s="30"/>
      <c r="C914" s="30"/>
      <c r="D914" s="31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30"/>
      <c r="B915" s="30"/>
      <c r="C915" s="30"/>
      <c r="D915" s="31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30"/>
      <c r="B916" s="30"/>
      <c r="C916" s="30"/>
      <c r="D916" s="31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30"/>
      <c r="B917" s="30"/>
      <c r="C917" s="30"/>
      <c r="D917" s="31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30"/>
      <c r="B918" s="30"/>
      <c r="C918" s="30"/>
      <c r="D918" s="31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30"/>
      <c r="B919" s="30"/>
      <c r="C919" s="30"/>
      <c r="D919" s="31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30"/>
      <c r="B920" s="30"/>
      <c r="C920" s="30"/>
      <c r="D920" s="31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30"/>
      <c r="B921" s="30"/>
      <c r="C921" s="30"/>
      <c r="D921" s="31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30"/>
      <c r="B922" s="30"/>
      <c r="C922" s="30"/>
      <c r="D922" s="31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30"/>
      <c r="B923" s="30"/>
      <c r="C923" s="30"/>
      <c r="D923" s="31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30"/>
      <c r="B924" s="30"/>
      <c r="C924" s="30"/>
      <c r="D924" s="31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30"/>
      <c r="B925" s="30"/>
      <c r="C925" s="30"/>
      <c r="D925" s="31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30"/>
      <c r="B926" s="30"/>
      <c r="C926" s="30"/>
      <c r="D926" s="31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30"/>
      <c r="B927" s="30"/>
      <c r="C927" s="30"/>
      <c r="D927" s="31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30"/>
      <c r="B928" s="30"/>
      <c r="C928" s="30"/>
      <c r="D928" s="31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30"/>
      <c r="B929" s="30"/>
      <c r="C929" s="30"/>
      <c r="D929" s="31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30"/>
      <c r="B930" s="30"/>
      <c r="C930" s="30"/>
      <c r="D930" s="31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30"/>
      <c r="B931" s="30"/>
      <c r="C931" s="30"/>
      <c r="D931" s="31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30"/>
      <c r="B932" s="30"/>
      <c r="C932" s="30"/>
      <c r="D932" s="31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30"/>
      <c r="B933" s="30"/>
      <c r="C933" s="30"/>
      <c r="D933" s="31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30"/>
      <c r="B934" s="30"/>
      <c r="C934" s="30"/>
      <c r="D934" s="31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30"/>
      <c r="B935" s="30"/>
      <c r="C935" s="30"/>
      <c r="D935" s="31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30"/>
      <c r="B936" s="30"/>
      <c r="C936" s="30"/>
      <c r="D936" s="31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30"/>
      <c r="B937" s="30"/>
      <c r="C937" s="30"/>
      <c r="D937" s="31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30"/>
      <c r="B938" s="30"/>
      <c r="C938" s="30"/>
      <c r="D938" s="31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30"/>
      <c r="B939" s="30"/>
      <c r="C939" s="30"/>
      <c r="D939" s="31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30"/>
      <c r="B940" s="30"/>
      <c r="C940" s="30"/>
      <c r="D940" s="31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30"/>
      <c r="B941" s="30"/>
      <c r="C941" s="30"/>
      <c r="D941" s="31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30"/>
      <c r="B942" s="30"/>
      <c r="C942" s="30"/>
      <c r="D942" s="31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30"/>
      <c r="B943" s="30"/>
      <c r="C943" s="30"/>
      <c r="D943" s="31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30"/>
      <c r="B944" s="30"/>
      <c r="C944" s="30"/>
      <c r="D944" s="31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30"/>
      <c r="B945" s="30"/>
      <c r="C945" s="30"/>
      <c r="D945" s="31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30"/>
      <c r="B946" s="30"/>
      <c r="C946" s="30"/>
      <c r="D946" s="31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30"/>
      <c r="B947" s="30"/>
      <c r="C947" s="30"/>
      <c r="D947" s="31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30"/>
      <c r="B948" s="30"/>
      <c r="C948" s="30"/>
      <c r="D948" s="31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30"/>
      <c r="B949" s="30"/>
      <c r="C949" s="30"/>
      <c r="D949" s="31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30"/>
      <c r="B950" s="30"/>
      <c r="C950" s="30"/>
      <c r="D950" s="31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30"/>
      <c r="B951" s="30"/>
      <c r="C951" s="30"/>
      <c r="D951" s="31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30"/>
      <c r="B952" s="30"/>
      <c r="C952" s="30"/>
      <c r="D952" s="31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30"/>
      <c r="B953" s="30"/>
      <c r="C953" s="30"/>
      <c r="D953" s="31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30"/>
      <c r="B954" s="30"/>
      <c r="C954" s="30"/>
      <c r="D954" s="31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30"/>
      <c r="B955" s="30"/>
      <c r="C955" s="30"/>
      <c r="D955" s="31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30"/>
      <c r="B956" s="30"/>
      <c r="C956" s="30"/>
      <c r="D956" s="31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30"/>
      <c r="B957" s="30"/>
      <c r="C957" s="30"/>
      <c r="D957" s="31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30"/>
      <c r="B958" s="30"/>
      <c r="C958" s="30"/>
      <c r="D958" s="31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30"/>
      <c r="B959" s="30"/>
      <c r="C959" s="30"/>
      <c r="D959" s="31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30"/>
      <c r="B960" s="30"/>
      <c r="C960" s="30"/>
      <c r="D960" s="31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30"/>
      <c r="B961" s="30"/>
      <c r="C961" s="30"/>
      <c r="D961" s="31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30"/>
      <c r="B962" s="30"/>
      <c r="C962" s="30"/>
      <c r="D962" s="31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30"/>
      <c r="B963" s="30"/>
      <c r="C963" s="30"/>
      <c r="D963" s="31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30"/>
      <c r="B964" s="30"/>
      <c r="C964" s="30"/>
      <c r="D964" s="31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30"/>
      <c r="B965" s="30"/>
      <c r="C965" s="30"/>
      <c r="D965" s="31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30"/>
      <c r="B966" s="30"/>
      <c r="C966" s="30"/>
      <c r="D966" s="31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30"/>
      <c r="B967" s="30"/>
      <c r="C967" s="30"/>
      <c r="D967" s="31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30"/>
      <c r="B968" s="30"/>
      <c r="C968" s="30"/>
      <c r="D968" s="31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30"/>
      <c r="B969" s="30"/>
      <c r="C969" s="30"/>
      <c r="D969" s="31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30"/>
      <c r="B970" s="30"/>
      <c r="C970" s="30"/>
      <c r="D970" s="31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30"/>
      <c r="B971" s="30"/>
      <c r="C971" s="30"/>
      <c r="D971" s="31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30"/>
      <c r="B972" s="30"/>
      <c r="C972" s="30"/>
      <c r="D972" s="31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30"/>
      <c r="B973" s="30"/>
      <c r="C973" s="30"/>
      <c r="D973" s="31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30"/>
      <c r="B974" s="30"/>
      <c r="C974" s="30"/>
      <c r="D974" s="31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30"/>
      <c r="B975" s="30"/>
      <c r="C975" s="30"/>
      <c r="D975" s="31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30"/>
      <c r="B976" s="30"/>
      <c r="C976" s="30"/>
      <c r="D976" s="31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30"/>
      <c r="B977" s="30"/>
      <c r="C977" s="30"/>
      <c r="D977" s="31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30"/>
      <c r="B978" s="30"/>
      <c r="C978" s="30"/>
      <c r="D978" s="31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30"/>
      <c r="B979" s="30"/>
      <c r="C979" s="30"/>
      <c r="D979" s="31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30"/>
      <c r="B980" s="30"/>
      <c r="C980" s="30"/>
      <c r="D980" s="31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30"/>
      <c r="B981" s="30"/>
      <c r="C981" s="30"/>
      <c r="D981" s="31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30"/>
      <c r="B982" s="30"/>
      <c r="C982" s="30"/>
      <c r="D982" s="31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30"/>
      <c r="B983" s="30"/>
      <c r="C983" s="30"/>
      <c r="D983" s="31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0"/>
      <c r="B984" s="30"/>
      <c r="C984" s="30"/>
      <c r="D984" s="31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0"/>
      <c r="B985" s="30"/>
      <c r="C985" s="30"/>
      <c r="D985" s="31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0"/>
      <c r="B986" s="30"/>
      <c r="C986" s="30"/>
      <c r="D986" s="31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0"/>
      <c r="B987" s="30"/>
      <c r="C987" s="30"/>
      <c r="D987" s="31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0"/>
      <c r="B988" s="30"/>
      <c r="C988" s="30"/>
      <c r="D988" s="31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0"/>
      <c r="B989" s="30"/>
      <c r="C989" s="30"/>
      <c r="D989" s="31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0"/>
      <c r="B990" s="30"/>
      <c r="C990" s="30"/>
      <c r="D990" s="31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0"/>
      <c r="B991" s="30"/>
      <c r="C991" s="30"/>
      <c r="D991" s="31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0"/>
      <c r="B992" s="30"/>
      <c r="C992" s="30"/>
      <c r="D992" s="31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0"/>
      <c r="B993" s="30"/>
      <c r="C993" s="30"/>
      <c r="D993" s="31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0"/>
      <c r="B994" s="30"/>
      <c r="C994" s="30"/>
      <c r="D994" s="31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0"/>
      <c r="B995" s="30"/>
      <c r="C995" s="30"/>
      <c r="D995" s="31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30"/>
      <c r="C996" s="30"/>
      <c r="D996" s="31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30"/>
      <c r="C997" s="30"/>
      <c r="D997" s="31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30"/>
      <c r="C998" s="30"/>
      <c r="D998" s="31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30"/>
      <c r="C999" s="30"/>
      <c r="D999" s="31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30"/>
      <c r="C1000" s="30"/>
      <c r="D1000" s="31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</sheetData>
  <mergeCells count="1">
    <mergeCell ref="A3:A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75"/>
    <col customWidth="1" min="3" max="3" width="7.88"/>
    <col customWidth="1" min="4" max="4" width="8.38"/>
    <col customWidth="1" min="5" max="5" width="7.88"/>
    <col customWidth="1" min="6" max="6" width="7.0"/>
    <col customWidth="1" min="7" max="7" width="10.5"/>
    <col customWidth="1" min="8" max="8" width="14.5"/>
    <col customWidth="1" min="9" max="10" width="8.75"/>
    <col customWidth="1" min="11" max="11" width="8.25"/>
    <col customWidth="1" min="12" max="12" width="5.63"/>
    <col customWidth="1" min="13" max="13" width="7.38"/>
    <col customWidth="1" min="14" max="14" width="10.38"/>
    <col customWidth="1" min="15" max="15" width="11.5"/>
    <col customWidth="1" min="16" max="16" width="6.13"/>
    <col customWidth="1" min="17" max="18" width="5.75"/>
    <col customWidth="1" min="19" max="19" width="8.75"/>
    <col customWidth="1" min="20" max="20" width="13.88"/>
    <col customWidth="1" min="21" max="21" width="5.25"/>
    <col customWidth="1" min="22" max="22" width="5.63"/>
    <col customWidth="1" min="23" max="23" width="4.38"/>
  </cols>
  <sheetData>
    <row r="1">
      <c r="A1" s="38" t="s">
        <v>3</v>
      </c>
      <c r="B1" s="39" t="s">
        <v>49</v>
      </c>
      <c r="C1" s="39" t="s">
        <v>53</v>
      </c>
      <c r="D1" s="39" t="s">
        <v>47</v>
      </c>
      <c r="E1" s="39" t="s">
        <v>54</v>
      </c>
      <c r="F1" s="39" t="s">
        <v>31</v>
      </c>
      <c r="G1" s="39" t="s">
        <v>7</v>
      </c>
      <c r="H1" s="39" t="s">
        <v>55</v>
      </c>
      <c r="I1" s="39" t="s">
        <v>56</v>
      </c>
      <c r="J1" s="39" t="s">
        <v>57</v>
      </c>
      <c r="K1" s="39" t="s">
        <v>58</v>
      </c>
      <c r="L1" s="39" t="s">
        <v>59</v>
      </c>
      <c r="M1" s="39" t="s">
        <v>19</v>
      </c>
      <c r="N1" s="39" t="s">
        <v>60</v>
      </c>
      <c r="O1" s="39" t="s">
        <v>61</v>
      </c>
      <c r="P1" s="39" t="s">
        <v>14</v>
      </c>
      <c r="Q1" s="39" t="s">
        <v>62</v>
      </c>
      <c r="R1" s="39" t="s">
        <v>63</v>
      </c>
      <c r="S1" s="39" t="s">
        <v>12</v>
      </c>
      <c r="T1" s="39" t="s">
        <v>64</v>
      </c>
      <c r="U1" s="39" t="s">
        <v>52</v>
      </c>
      <c r="V1" s="39" t="s">
        <v>65</v>
      </c>
      <c r="W1" s="39" t="s">
        <v>23</v>
      </c>
      <c r="X1" s="39" t="s">
        <v>30</v>
      </c>
      <c r="Y1" s="39" t="s">
        <v>66</v>
      </c>
      <c r="Z1" s="40"/>
      <c r="AA1" s="40"/>
      <c r="AB1" s="40"/>
      <c r="AC1" s="40"/>
      <c r="AD1" s="40"/>
      <c r="AE1" s="40"/>
    </row>
    <row r="2">
      <c r="A2" s="38">
        <v>45441.0</v>
      </c>
      <c r="B2" s="39">
        <v>417.0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38">
        <v>45448.0</v>
      </c>
      <c r="B3" s="39">
        <v>456.0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>
      <c r="A4" s="38">
        <v>45450.0</v>
      </c>
      <c r="B4" s="39">
        <v>283.0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>
      <c r="A5" s="38">
        <v>45456.0</v>
      </c>
      <c r="B5" s="39">
        <v>270.0</v>
      </c>
      <c r="C5" s="39">
        <v>28.0</v>
      </c>
      <c r="D5" s="39">
        <v>28.0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>
      <c r="A6" s="38">
        <v>45458.0</v>
      </c>
      <c r="B6" s="40">
        <f>35+42</f>
        <v>77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7">
      <c r="A7" s="38">
        <v>45461.0</v>
      </c>
      <c r="B7" s="39">
        <v>51.0</v>
      </c>
      <c r="C7" s="39">
        <v>18.0</v>
      </c>
      <c r="D7" s="39">
        <v>161.0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>
      <c r="A8" s="38">
        <v>45463.0</v>
      </c>
      <c r="B8" s="40"/>
      <c r="C8" s="40"/>
      <c r="D8" s="39">
        <v>98.0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>
      <c r="A9" s="38">
        <v>45464.0</v>
      </c>
      <c r="B9" s="39">
        <v>40.0</v>
      </c>
      <c r="C9" s="40"/>
      <c r="D9" s="39">
        <v>81.0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>
      <c r="A10" s="38">
        <v>45465.0</v>
      </c>
      <c r="B10" s="39">
        <v>40.0</v>
      </c>
      <c r="C10" s="40"/>
      <c r="D10" s="39">
        <v>22.0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>
      <c r="A11" s="38">
        <v>45468.0</v>
      </c>
      <c r="B11" s="39">
        <v>122.0</v>
      </c>
      <c r="C11" s="40"/>
      <c r="D11" s="39">
        <v>110.0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>
      <c r="A12" s="38">
        <v>45470.0</v>
      </c>
      <c r="B12" s="39">
        <v>44.0</v>
      </c>
      <c r="C12" s="40"/>
      <c r="D12" s="39">
        <v>34.0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>
      <c r="A13" s="38">
        <v>45472.0</v>
      </c>
      <c r="B13" s="39">
        <v>202.0</v>
      </c>
      <c r="C13" s="39">
        <v>6.0</v>
      </c>
      <c r="D13" s="39">
        <v>22.0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>
      <c r="A14" s="38">
        <v>45474.0</v>
      </c>
      <c r="B14" s="39">
        <v>30.0</v>
      </c>
      <c r="C14" s="40"/>
      <c r="D14" s="39">
        <v>62.0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>
      <c r="A15" s="38">
        <v>45476.0</v>
      </c>
      <c r="B15" s="39">
        <v>62.0</v>
      </c>
      <c r="C15" s="40"/>
      <c r="D15" s="39">
        <v>9.0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>
      <c r="A16" s="38">
        <v>45478.0</v>
      </c>
      <c r="B16" s="39">
        <v>95.0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>
      <c r="A17" s="38">
        <v>45486.0</v>
      </c>
      <c r="B17" s="39">
        <v>47.0</v>
      </c>
      <c r="C17" s="40"/>
      <c r="D17" s="40"/>
      <c r="E17" s="39">
        <v>4.0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>
      <c r="A18" s="38">
        <v>45490.0</v>
      </c>
      <c r="B18" s="40"/>
      <c r="C18" s="40"/>
      <c r="D18" s="40"/>
      <c r="E18" s="39">
        <v>12.0</v>
      </c>
      <c r="F18" s="39">
        <v>957.0</v>
      </c>
      <c r="G18" s="39">
        <v>14.0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>
      <c r="A19" s="38">
        <v>45491.0</v>
      </c>
      <c r="B19" s="40"/>
      <c r="C19" s="40"/>
      <c r="D19" s="40"/>
      <c r="E19" s="39">
        <v>29.0</v>
      </c>
      <c r="F19" s="39">
        <v>281.0</v>
      </c>
      <c r="G19" s="40"/>
      <c r="H19" s="39"/>
      <c r="I19" s="39">
        <v>29.0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>
      <c r="A20" s="38">
        <v>45492.0</v>
      </c>
      <c r="B20" s="39">
        <v>46.0</v>
      </c>
      <c r="C20" s="40"/>
      <c r="D20" s="40"/>
      <c r="E20" s="39">
        <v>6.0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>
      <c r="A21" s="38">
        <v>45493.0</v>
      </c>
      <c r="B21" s="40"/>
      <c r="C21" s="40"/>
      <c r="D21" s="40"/>
      <c r="E21" s="40"/>
      <c r="F21" s="40"/>
      <c r="G21" s="40"/>
      <c r="H21" s="39"/>
      <c r="I21" s="39">
        <v>61.0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>
      <c r="A22" s="38">
        <v>45494.0</v>
      </c>
      <c r="B22" s="40"/>
      <c r="C22" s="40"/>
      <c r="D22" s="40"/>
      <c r="E22" s="40"/>
      <c r="F22" s="39">
        <v>908.0</v>
      </c>
      <c r="G22" s="40"/>
      <c r="H22" s="40"/>
      <c r="I22" s="40"/>
      <c r="J22" s="39">
        <v>228.0</v>
      </c>
      <c r="K22" s="39"/>
      <c r="L22" s="39"/>
      <c r="M22" s="39"/>
      <c r="N22" s="39">
        <v>356.0</v>
      </c>
      <c r="O22" s="39">
        <v>5.0</v>
      </c>
      <c r="P22" s="39">
        <v>394.0</v>
      </c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>
      <c r="A23" s="38">
        <v>45495.0</v>
      </c>
      <c r="B23" s="39">
        <v>39.0</v>
      </c>
      <c r="C23" s="40"/>
      <c r="D23" s="40"/>
      <c r="E23" s="40"/>
      <c r="F23" s="39">
        <v>1039.0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>
      <c r="A24" s="38">
        <v>45496.0</v>
      </c>
      <c r="B24" s="40"/>
      <c r="C24" s="40"/>
      <c r="D24" s="40"/>
      <c r="E24" s="40"/>
      <c r="F24" s="39">
        <v>747.0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>
      <c r="A25" s="38">
        <v>45497.0</v>
      </c>
      <c r="B25" s="40"/>
      <c r="C25" s="40"/>
      <c r="D25" s="40"/>
      <c r="E25" s="39">
        <v>21.0</v>
      </c>
      <c r="F25" s="40"/>
      <c r="G25" s="40"/>
      <c r="H25" s="39"/>
      <c r="I25" s="39">
        <v>33.0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>
      <c r="A26" s="38">
        <v>45498.0</v>
      </c>
      <c r="B26" s="40"/>
      <c r="C26" s="40"/>
      <c r="D26" s="40"/>
      <c r="E26" s="40"/>
      <c r="F26" s="40"/>
      <c r="G26" s="40"/>
      <c r="H26" s="40"/>
      <c r="I26" s="40"/>
      <c r="J26" s="39">
        <v>132.0</v>
      </c>
      <c r="K26" s="40"/>
      <c r="L26" s="40"/>
      <c r="M26" s="40"/>
      <c r="N26" s="40"/>
      <c r="O26" s="39">
        <v>8.0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>
      <c r="A27" s="38">
        <v>45499.0</v>
      </c>
      <c r="B27" s="39">
        <v>27.0</v>
      </c>
      <c r="C27" s="40"/>
      <c r="D27" s="40"/>
      <c r="E27" s="39">
        <v>3.0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>
        <f>1680+1660+146</f>
        <v>3486</v>
      </c>
      <c r="Q27" s="39"/>
      <c r="R27" s="39">
        <v>550.0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>
      <c r="A28" s="38">
        <v>45500.0</v>
      </c>
      <c r="B28" s="40"/>
      <c r="C28" s="40"/>
      <c r="D28" s="40"/>
      <c r="E28" s="40"/>
      <c r="F28" s="40"/>
      <c r="G28" s="40"/>
      <c r="H28" s="40"/>
      <c r="I28" s="40"/>
      <c r="J28" s="39">
        <v>339.0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>
      <c r="A29" s="38">
        <v>45501.0</v>
      </c>
      <c r="B29" s="39">
        <v>40.0</v>
      </c>
      <c r="C29" s="40"/>
      <c r="D29" s="40"/>
      <c r="E29" s="39">
        <v>15.0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>
      <c r="A30" s="38">
        <v>45502.0</v>
      </c>
      <c r="B30" s="39">
        <v>36.0</v>
      </c>
      <c r="C30" s="40"/>
      <c r="D30" s="40"/>
      <c r="E30" s="40"/>
      <c r="F30" s="40"/>
      <c r="G30" s="39">
        <v>70.0</v>
      </c>
      <c r="H30" s="40"/>
      <c r="I30" s="40"/>
      <c r="J30" s="40"/>
      <c r="K30" s="40"/>
      <c r="L30" s="40"/>
      <c r="M30" s="40"/>
      <c r="N30" s="40"/>
      <c r="O30" s="39">
        <v>15.0</v>
      </c>
      <c r="P30" s="40">
        <f>1233+1736+1019+225</f>
        <v>4213</v>
      </c>
      <c r="Q30" s="40"/>
      <c r="R30" s="40"/>
      <c r="S30" s="39">
        <v>948.0</v>
      </c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>
      <c r="A31" s="38">
        <v>45504.0</v>
      </c>
      <c r="B31" s="40"/>
      <c r="C31" s="40"/>
      <c r="D31" s="40"/>
      <c r="E31" s="39">
        <v>23.0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39">
        <v>9500.0</v>
      </c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>
      <c r="A32" s="38">
        <v>45505.0</v>
      </c>
      <c r="B32" s="39">
        <v>74.0</v>
      </c>
      <c r="C32" s="40"/>
      <c r="D32" s="40"/>
      <c r="E32" s="39">
        <v>168.0</v>
      </c>
      <c r="F32" s="39">
        <v>376.0</v>
      </c>
      <c r="G32" s="40"/>
      <c r="H32" s="40"/>
      <c r="I32" s="40"/>
      <c r="J32" s="40"/>
      <c r="K32" s="40"/>
      <c r="L32" s="40"/>
      <c r="M32" s="40"/>
      <c r="N32" s="40"/>
      <c r="O32" s="39">
        <v>17.0</v>
      </c>
      <c r="P32" s="39">
        <v>2419.0</v>
      </c>
      <c r="Q32" s="40"/>
      <c r="R32" s="40"/>
      <c r="S32" s="39">
        <v>404.0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>
      <c r="A33" s="38">
        <v>45506.0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39">
        <v>2122.0</v>
      </c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>
      <c r="A34" s="38">
        <v>45507.0</v>
      </c>
      <c r="B34" s="39">
        <v>62.0</v>
      </c>
      <c r="C34" s="40"/>
      <c r="D34" s="40"/>
      <c r="E34" s="39">
        <v>10.0</v>
      </c>
      <c r="F34" s="40"/>
      <c r="G34" s="39">
        <v>11.0</v>
      </c>
      <c r="H34" s="40"/>
      <c r="I34" s="40"/>
      <c r="J34" s="40"/>
      <c r="K34" s="40"/>
      <c r="L34" s="40"/>
      <c r="M34" s="40"/>
      <c r="N34" s="40"/>
      <c r="O34" s="39">
        <v>17.0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38">
        <v>45508.0</v>
      </c>
      <c r="B35" s="40"/>
      <c r="C35" s="40"/>
      <c r="D35" s="40"/>
      <c r="E35" s="40"/>
      <c r="F35" s="39">
        <v>319.0</v>
      </c>
      <c r="G35" s="40"/>
      <c r="H35" s="40"/>
      <c r="I35" s="40"/>
      <c r="J35" s="39">
        <v>357.0</v>
      </c>
      <c r="K35" s="40"/>
      <c r="L35" s="40"/>
      <c r="M35" s="40"/>
      <c r="N35" s="40"/>
      <c r="O35" s="39">
        <v>6.0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38">
        <v>45509.0</v>
      </c>
      <c r="B36" s="40"/>
      <c r="C36" s="40"/>
      <c r="D36" s="40"/>
      <c r="E36" s="40"/>
      <c r="F36" s="40"/>
      <c r="G36" s="40"/>
      <c r="H36" s="39"/>
      <c r="I36" s="39">
        <v>279.0</v>
      </c>
      <c r="J36" s="40"/>
      <c r="K36" s="40"/>
      <c r="L36" s="40"/>
      <c r="M36" s="40"/>
      <c r="N36" s="40"/>
      <c r="O36" s="39">
        <v>36.0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38">
        <v>45511.0</v>
      </c>
      <c r="B37" s="40"/>
      <c r="C37" s="40"/>
      <c r="D37" s="40"/>
      <c r="E37" s="40"/>
      <c r="F37" s="39">
        <v>342.0</v>
      </c>
      <c r="G37" s="40"/>
      <c r="H37" s="40"/>
      <c r="I37" s="40"/>
      <c r="J37" s="40"/>
      <c r="K37" s="40"/>
      <c r="L37" s="40"/>
      <c r="M37" s="40"/>
      <c r="N37" s="40"/>
      <c r="O37" s="39">
        <v>37.0</v>
      </c>
      <c r="P37" s="40"/>
      <c r="Q37" s="40"/>
      <c r="R37" s="40"/>
      <c r="S37" s="40"/>
      <c r="T37" s="39">
        <v>1318.0</v>
      </c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38">
        <v>45513.0</v>
      </c>
      <c r="B38" s="39">
        <v>145.0</v>
      </c>
      <c r="C38" s="40"/>
      <c r="D38" s="40"/>
      <c r="E38" s="39">
        <v>4.0</v>
      </c>
      <c r="F38" s="39">
        <v>420.0</v>
      </c>
      <c r="G38" s="39">
        <v>67.0</v>
      </c>
      <c r="H38" s="39"/>
      <c r="I38" s="39">
        <v>312.0</v>
      </c>
      <c r="J38" s="40"/>
      <c r="K38" s="40"/>
      <c r="L38" s="40"/>
      <c r="M38" s="40"/>
      <c r="N38" s="40"/>
      <c r="O38" s="40"/>
      <c r="P38" s="39">
        <v>51.0</v>
      </c>
      <c r="Q38" s="40"/>
      <c r="R38" s="40"/>
      <c r="S38" s="39">
        <v>1282.0</v>
      </c>
      <c r="T38" s="40"/>
      <c r="U38" s="39">
        <v>133.0</v>
      </c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38">
        <v>45514.0</v>
      </c>
      <c r="B39" s="39">
        <v>36.0</v>
      </c>
      <c r="C39" s="40"/>
      <c r="D39" s="40"/>
      <c r="E39" s="40"/>
      <c r="F39" s="40"/>
      <c r="G39" s="39">
        <v>38.0</v>
      </c>
      <c r="H39" s="40"/>
      <c r="I39" s="40"/>
      <c r="J39" s="39">
        <v>73.0</v>
      </c>
      <c r="K39" s="39"/>
      <c r="L39" s="39"/>
      <c r="M39" s="39"/>
      <c r="N39" s="39">
        <v>72.0</v>
      </c>
      <c r="O39" s="39">
        <v>53.0</v>
      </c>
      <c r="P39" s="40">
        <f>108+268</f>
        <v>376</v>
      </c>
      <c r="Q39" s="40"/>
      <c r="R39" s="40"/>
      <c r="S39" s="40"/>
      <c r="T39" s="40"/>
      <c r="U39" s="40"/>
      <c r="V39" s="40">
        <f>1274+473+772</f>
        <v>2519</v>
      </c>
      <c r="W39" s="40"/>
      <c r="X39" s="40"/>
      <c r="Y39" s="40"/>
      <c r="Z39" s="40"/>
      <c r="AA39" s="40"/>
      <c r="AB39" s="40"/>
      <c r="AC39" s="40"/>
      <c r="AD39" s="40"/>
      <c r="AE39" s="40"/>
    </row>
    <row r="40">
      <c r="A40" s="38">
        <v>45515.0</v>
      </c>
      <c r="B40" s="40"/>
      <c r="C40" s="40"/>
      <c r="D40" s="40"/>
      <c r="E40" s="40"/>
      <c r="F40" s="39">
        <v>1257.0</v>
      </c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38">
        <v>45516.0</v>
      </c>
      <c r="B41" s="40"/>
      <c r="C41" s="40"/>
      <c r="D41" s="40"/>
      <c r="E41" s="40"/>
      <c r="F41" s="39">
        <v>380.0</v>
      </c>
      <c r="G41" s="40"/>
      <c r="H41" s="40"/>
      <c r="I41" s="40"/>
      <c r="J41" s="40"/>
      <c r="K41" s="40"/>
      <c r="L41" s="40"/>
      <c r="M41" s="40"/>
      <c r="N41" s="40"/>
      <c r="O41" s="39">
        <v>49.0</v>
      </c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38">
        <v>45517.0</v>
      </c>
      <c r="B42" s="40"/>
      <c r="C42" s="40"/>
      <c r="D42" s="40"/>
      <c r="E42" s="40"/>
      <c r="F42" s="39">
        <v>507.0</v>
      </c>
      <c r="G42" s="39">
        <v>28.0</v>
      </c>
      <c r="H42" s="40"/>
      <c r="I42" s="40"/>
      <c r="J42" s="40"/>
      <c r="K42" s="40"/>
      <c r="L42" s="40"/>
      <c r="M42" s="40"/>
      <c r="N42" s="40"/>
      <c r="O42" s="39">
        <v>24.0</v>
      </c>
      <c r="P42" s="40"/>
      <c r="Q42" s="40"/>
      <c r="R42" s="40"/>
      <c r="S42" s="39">
        <v>740.0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38">
        <v>45518.0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39">
        <v>35.0</v>
      </c>
      <c r="P43" s="40"/>
      <c r="Q43" s="39">
        <v>74.0</v>
      </c>
      <c r="R43" s="40"/>
      <c r="S43" s="39">
        <v>440.0</v>
      </c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38">
        <v>45519.0</v>
      </c>
      <c r="B44" s="40"/>
      <c r="C44" s="40"/>
      <c r="D44" s="40"/>
      <c r="E44" s="40"/>
      <c r="F44" s="40"/>
      <c r="G44" s="39">
        <v>67.0</v>
      </c>
      <c r="H44" s="40"/>
      <c r="I44" s="40"/>
      <c r="J44" s="40"/>
      <c r="K44" s="40"/>
      <c r="L44" s="40"/>
      <c r="M44" s="40"/>
      <c r="N44" s="40"/>
      <c r="O44" s="39">
        <v>64.0</v>
      </c>
      <c r="P44" s="40"/>
      <c r="Q44" s="39">
        <v>65.0</v>
      </c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38">
        <v>45520.0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39">
        <v>13.0</v>
      </c>
      <c r="P45" s="40">
        <f>575-155</f>
        <v>420</v>
      </c>
      <c r="Q45" s="40"/>
      <c r="R45" s="40"/>
      <c r="S45" s="40"/>
      <c r="T45" s="40"/>
      <c r="U45" s="40"/>
      <c r="V45" s="40">
        <f>1950+1035</f>
        <v>2985</v>
      </c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38">
        <v>45521.0</v>
      </c>
      <c r="B46" s="39">
        <v>31.0</v>
      </c>
      <c r="C46" s="40"/>
      <c r="D46" s="40"/>
      <c r="E46" s="40"/>
      <c r="F46" s="39">
        <v>319.0</v>
      </c>
      <c r="G46" s="39">
        <v>36.0</v>
      </c>
      <c r="H46" s="39"/>
      <c r="I46" s="39">
        <v>60.0</v>
      </c>
      <c r="J46" s="40"/>
      <c r="K46" s="40"/>
      <c r="L46" s="40"/>
      <c r="M46" s="40"/>
      <c r="N46" s="40"/>
      <c r="O46" s="40"/>
      <c r="P46" s="40"/>
      <c r="Q46" s="39">
        <v>61.0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38">
        <v>45523.0</v>
      </c>
      <c r="B47" s="40"/>
      <c r="C47" s="40"/>
      <c r="D47" s="40"/>
      <c r="E47" s="40"/>
      <c r="F47" s="40"/>
      <c r="G47" s="39">
        <v>38.0</v>
      </c>
      <c r="H47" s="39"/>
      <c r="I47" s="39"/>
      <c r="J47" s="40"/>
      <c r="K47" s="40"/>
      <c r="L47" s="40"/>
      <c r="M47" s="40"/>
      <c r="N47" s="40"/>
      <c r="O47" s="39">
        <v>9.0</v>
      </c>
      <c r="P47" s="40"/>
      <c r="Q47" s="39">
        <v>41.0</v>
      </c>
      <c r="R47" s="40"/>
      <c r="S47" s="39">
        <v>385.0</v>
      </c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38">
        <v>45525.0</v>
      </c>
      <c r="B48" s="39">
        <v>38.0</v>
      </c>
      <c r="C48" s="40"/>
      <c r="D48" s="40"/>
      <c r="E48" s="40"/>
      <c r="F48" s="40"/>
      <c r="G48" s="39">
        <v>50.0</v>
      </c>
      <c r="H48" s="40"/>
      <c r="I48" s="40"/>
      <c r="J48" s="40"/>
      <c r="K48" s="39"/>
      <c r="L48" s="39"/>
      <c r="M48" s="39"/>
      <c r="N48" s="39">
        <v>364.0</v>
      </c>
      <c r="O48" s="39">
        <v>25.0</v>
      </c>
      <c r="P48" s="39"/>
      <c r="Q48" s="39">
        <v>411.0</v>
      </c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38">
        <v>45527.0</v>
      </c>
      <c r="B49" s="40"/>
      <c r="C49" s="40"/>
      <c r="D49" s="40"/>
      <c r="E49" s="40"/>
      <c r="F49" s="40"/>
      <c r="G49" s="40"/>
      <c r="H49" s="40"/>
      <c r="I49" s="40"/>
      <c r="J49" s="40"/>
      <c r="K49" s="39"/>
      <c r="L49" s="39"/>
      <c r="M49" s="39"/>
      <c r="N49" s="39">
        <v>624.0</v>
      </c>
      <c r="O49" s="39">
        <v>24.0</v>
      </c>
      <c r="P49" s="40"/>
      <c r="Q49" s="39">
        <v>110.0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38">
        <v>45528.0</v>
      </c>
      <c r="B50" s="40"/>
      <c r="C50" s="40"/>
      <c r="D50" s="40"/>
      <c r="E50" s="40"/>
      <c r="F50" s="40"/>
      <c r="G50" s="39">
        <v>52.0</v>
      </c>
      <c r="H50" s="40"/>
      <c r="I50" s="40"/>
      <c r="J50" s="40"/>
      <c r="K50" s="39"/>
      <c r="L50" s="39"/>
      <c r="M50" s="39"/>
      <c r="N50" s="39">
        <v>357.0</v>
      </c>
      <c r="O50" s="39">
        <v>13.0</v>
      </c>
      <c r="P50" s="40"/>
      <c r="Q50" s="39">
        <v>256.0</v>
      </c>
      <c r="R50" s="40"/>
      <c r="S50" s="39">
        <v>474.0</v>
      </c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38">
        <v>45530.0</v>
      </c>
      <c r="B51" s="40"/>
      <c r="C51" s="40"/>
      <c r="D51" s="40"/>
      <c r="E51" s="40"/>
      <c r="F51" s="40"/>
      <c r="G51" s="40"/>
      <c r="H51" s="40"/>
      <c r="I51" s="40"/>
      <c r="J51" s="40"/>
      <c r="K51" s="39"/>
      <c r="L51" s="39"/>
      <c r="M51" s="39"/>
      <c r="N51" s="39">
        <v>186.0</v>
      </c>
      <c r="O51" s="39">
        <v>67.0</v>
      </c>
      <c r="P51" s="40"/>
      <c r="Q51" s="39">
        <v>174.0</v>
      </c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38">
        <v>45532.0</v>
      </c>
      <c r="B52" s="39">
        <v>38.0</v>
      </c>
      <c r="C52" s="40"/>
      <c r="D52" s="40"/>
      <c r="E52" s="40"/>
      <c r="F52" s="40"/>
      <c r="G52" s="39">
        <v>132.0</v>
      </c>
      <c r="H52" s="40"/>
      <c r="I52" s="40"/>
      <c r="J52" s="40"/>
      <c r="K52" s="40"/>
      <c r="L52" s="40"/>
      <c r="M52" s="40"/>
      <c r="N52" s="40"/>
      <c r="O52" s="39">
        <v>59.0</v>
      </c>
      <c r="P52" s="40"/>
      <c r="Q52" s="40"/>
      <c r="R52" s="40"/>
      <c r="S52" s="39">
        <v>493.0</v>
      </c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38">
        <v>45535.0</v>
      </c>
      <c r="B53" s="40"/>
      <c r="C53" s="40"/>
      <c r="D53" s="40"/>
      <c r="E53" s="40"/>
      <c r="F53" s="39">
        <v>341.0</v>
      </c>
      <c r="G53" s="39">
        <v>36.0</v>
      </c>
      <c r="H53" s="40"/>
      <c r="I53" s="40"/>
      <c r="J53" s="40"/>
      <c r="K53" s="39"/>
      <c r="L53" s="39"/>
      <c r="M53" s="39">
        <v>720.0</v>
      </c>
      <c r="N53" s="39">
        <v>609.0</v>
      </c>
      <c r="O53" s="39">
        <v>69.0</v>
      </c>
      <c r="P53" s="40"/>
      <c r="Q53" s="39">
        <v>183.0</v>
      </c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38">
        <v>45538.0</v>
      </c>
      <c r="B54" s="40"/>
      <c r="C54" s="40"/>
      <c r="D54" s="40"/>
      <c r="E54" s="40"/>
      <c r="F54" s="40"/>
      <c r="G54" s="39">
        <v>46.0</v>
      </c>
      <c r="H54" s="40"/>
      <c r="I54" s="40"/>
      <c r="J54" s="40"/>
      <c r="K54" s="39"/>
      <c r="L54" s="39"/>
      <c r="M54" s="39">
        <v>460.0</v>
      </c>
      <c r="N54" s="39">
        <v>360.0</v>
      </c>
      <c r="O54" s="39">
        <v>55.0</v>
      </c>
      <c r="P54" s="40"/>
      <c r="Q54" s="40"/>
      <c r="R54" s="40"/>
      <c r="S54" s="39">
        <v>606.0</v>
      </c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>
      <c r="A55" s="38">
        <v>45541.0</v>
      </c>
      <c r="B55" s="40"/>
      <c r="C55" s="40"/>
      <c r="D55" s="40"/>
      <c r="E55" s="40"/>
      <c r="F55" s="40">
        <f>2226+400</f>
        <v>2626</v>
      </c>
      <c r="G55" s="39">
        <v>89.0</v>
      </c>
      <c r="H55" s="40"/>
      <c r="I55" s="40"/>
      <c r="J55" s="40"/>
      <c r="K55" s="39"/>
      <c r="L55" s="39"/>
      <c r="M55" s="39">
        <v>369.0</v>
      </c>
      <c r="N55" s="40"/>
      <c r="O55" s="39">
        <v>57.0</v>
      </c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38">
        <v>45542.0</v>
      </c>
      <c r="B56" s="39">
        <v>432.0</v>
      </c>
      <c r="C56" s="40"/>
      <c r="D56" s="40"/>
      <c r="E56" s="40"/>
      <c r="F56" s="39">
        <v>1134.0</v>
      </c>
      <c r="G56" s="40"/>
      <c r="H56" s="40"/>
      <c r="I56" s="40"/>
      <c r="J56" s="40"/>
      <c r="K56" s="40"/>
      <c r="L56" s="40"/>
      <c r="M56" s="40"/>
      <c r="N56" s="39">
        <v>91.0</v>
      </c>
      <c r="O56" s="39">
        <v>61.0</v>
      </c>
      <c r="P56" s="40"/>
      <c r="Q56" s="39">
        <v>78.0</v>
      </c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38">
        <v>45543.0</v>
      </c>
      <c r="B57" s="39">
        <v>80.0</v>
      </c>
      <c r="C57" s="40"/>
      <c r="D57" s="40"/>
      <c r="E57" s="40"/>
      <c r="F57" s="40"/>
      <c r="G57" s="40"/>
      <c r="H57" s="40"/>
      <c r="I57" s="40"/>
      <c r="J57" s="40"/>
      <c r="K57" s="39"/>
      <c r="L57" s="39"/>
      <c r="M57" s="39">
        <v>1081.0</v>
      </c>
      <c r="N57" s="40"/>
      <c r="O57" s="39">
        <v>93.0</v>
      </c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38">
        <v>45546.0</v>
      </c>
      <c r="B58" s="40"/>
      <c r="C58" s="40"/>
      <c r="D58" s="40"/>
      <c r="E58" s="40"/>
      <c r="F58" s="39">
        <v>1328.0</v>
      </c>
      <c r="G58" s="39">
        <v>80.0</v>
      </c>
      <c r="H58" s="40"/>
      <c r="I58" s="40"/>
      <c r="J58" s="40"/>
      <c r="K58" s="39"/>
      <c r="L58" s="39"/>
      <c r="M58" s="39">
        <v>1149.0</v>
      </c>
      <c r="N58" s="40"/>
      <c r="O58" s="39">
        <v>240.0</v>
      </c>
      <c r="P58" s="40"/>
      <c r="Q58" s="40"/>
      <c r="R58" s="40"/>
      <c r="S58" s="39">
        <v>889.0</v>
      </c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38">
        <v>45548.0</v>
      </c>
      <c r="B59" s="39">
        <v>102.0</v>
      </c>
      <c r="C59" s="40"/>
      <c r="D59" s="40"/>
      <c r="E59" s="40"/>
      <c r="F59" s="39">
        <v>459.0</v>
      </c>
      <c r="G59" s="40"/>
      <c r="H59" s="40"/>
      <c r="I59" s="40"/>
      <c r="J59" s="40"/>
      <c r="K59" s="40"/>
      <c r="L59" s="40"/>
      <c r="M59" s="40"/>
      <c r="N59" s="40"/>
      <c r="O59" s="39">
        <v>109.0</v>
      </c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38">
        <v>45549.0</v>
      </c>
      <c r="B60" s="40"/>
      <c r="C60" s="40"/>
      <c r="D60" s="40"/>
      <c r="E60" s="40"/>
      <c r="F60" s="40"/>
      <c r="G60" s="40"/>
      <c r="H60" s="40"/>
      <c r="I60" s="40"/>
      <c r="J60" s="40"/>
      <c r="K60" s="39"/>
      <c r="L60" s="39"/>
      <c r="M60" s="39">
        <v>304.0</v>
      </c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38">
        <v>45551.0</v>
      </c>
      <c r="B61" s="40"/>
      <c r="C61" s="40"/>
      <c r="D61" s="40"/>
      <c r="E61" s="40"/>
      <c r="F61" s="40"/>
      <c r="G61" s="40"/>
      <c r="H61" s="40"/>
      <c r="I61" s="40"/>
      <c r="J61" s="40"/>
      <c r="K61" s="39"/>
      <c r="L61" s="39"/>
      <c r="M61" s="39">
        <v>506.0</v>
      </c>
      <c r="N61" s="40"/>
      <c r="O61" s="39">
        <v>72.0</v>
      </c>
      <c r="P61" s="40"/>
      <c r="Q61" s="40"/>
      <c r="R61" s="40"/>
      <c r="S61" s="39">
        <v>557.0</v>
      </c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38">
        <v>45552.0</v>
      </c>
      <c r="B62" s="40"/>
      <c r="C62" s="40"/>
      <c r="D62" s="40"/>
      <c r="E62" s="40"/>
      <c r="F62" s="39">
        <v>351.0</v>
      </c>
      <c r="G62" s="40"/>
      <c r="H62" s="40"/>
      <c r="I62" s="40"/>
      <c r="J62" s="40"/>
      <c r="K62" s="39"/>
      <c r="L62" s="39"/>
      <c r="M62" s="39">
        <v>380.0</v>
      </c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38">
        <v>45554.0</v>
      </c>
      <c r="B63" s="39">
        <v>176.0</v>
      </c>
      <c r="C63" s="40"/>
      <c r="D63" s="40"/>
      <c r="E63" s="40"/>
      <c r="F63" s="40"/>
      <c r="G63" s="39">
        <v>51.0</v>
      </c>
      <c r="H63" s="40"/>
      <c r="I63" s="40"/>
      <c r="J63" s="39">
        <v>390.0</v>
      </c>
      <c r="K63" s="39"/>
      <c r="L63" s="39"/>
      <c r="M63" s="39">
        <v>452.0</v>
      </c>
      <c r="N63" s="40"/>
      <c r="O63" s="40"/>
      <c r="P63" s="40"/>
      <c r="Q63" s="40"/>
      <c r="R63" s="40"/>
      <c r="S63" s="39">
        <v>1045.0</v>
      </c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38">
        <v>45557.0</v>
      </c>
      <c r="B64" s="39">
        <v>129.0</v>
      </c>
      <c r="C64" s="40"/>
      <c r="D64" s="40"/>
      <c r="E64" s="40"/>
      <c r="F64" s="39">
        <v>942.0</v>
      </c>
      <c r="G64" s="40"/>
      <c r="H64" s="39">
        <v>84.0</v>
      </c>
      <c r="I64" s="40"/>
      <c r="J64" s="39">
        <v>503.0</v>
      </c>
      <c r="K64" s="39">
        <v>1056.0</v>
      </c>
      <c r="L64" s="39">
        <v>120.0</v>
      </c>
      <c r="M64" s="39">
        <f>688+615</f>
        <v>1303</v>
      </c>
      <c r="N64" s="40"/>
      <c r="O64" s="39">
        <v>172.0</v>
      </c>
      <c r="P64" s="40"/>
      <c r="Q64" s="39">
        <f>85+148</f>
        <v>233</v>
      </c>
      <c r="R64" s="40"/>
      <c r="S64" s="40"/>
      <c r="T64" s="40"/>
      <c r="U64" s="40"/>
      <c r="V64" s="40"/>
      <c r="W64" s="39">
        <v>327.0</v>
      </c>
      <c r="X64" s="40"/>
      <c r="Y64" s="40"/>
      <c r="Z64" s="40"/>
      <c r="AA64" s="40"/>
      <c r="AB64" s="40"/>
      <c r="AC64" s="40"/>
      <c r="AD64" s="40"/>
      <c r="AE64" s="40"/>
    </row>
    <row r="65">
      <c r="A65" s="38">
        <v>45558.0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39">
        <v>70.0</v>
      </c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38">
        <v>45560.0</v>
      </c>
      <c r="B66" s="40"/>
      <c r="C66" s="40"/>
      <c r="D66" s="40"/>
      <c r="E66" s="40"/>
      <c r="F66" s="40"/>
      <c r="G66" s="39">
        <v>15.0</v>
      </c>
      <c r="H66" s="39">
        <v>219.0</v>
      </c>
      <c r="I66" s="40"/>
      <c r="J66" s="39">
        <v>243.0</v>
      </c>
      <c r="K66" s="39">
        <v>341.0</v>
      </c>
      <c r="L66" s="40"/>
      <c r="M66" s="40"/>
      <c r="N66" s="40"/>
      <c r="O66" s="40"/>
      <c r="P66" s="40"/>
      <c r="Q66" s="40"/>
      <c r="R66" s="40"/>
      <c r="S66" s="39">
        <v>330.0</v>
      </c>
      <c r="T66" s="40"/>
      <c r="U66" s="40"/>
      <c r="V66" s="40"/>
      <c r="W66" s="40"/>
      <c r="X66" s="39">
        <v>34.0</v>
      </c>
      <c r="Y66" s="40"/>
      <c r="Z66" s="40"/>
      <c r="AA66" s="40"/>
      <c r="AB66" s="40"/>
      <c r="AC66" s="40"/>
      <c r="AD66" s="40"/>
      <c r="AE66" s="40"/>
    </row>
    <row r="67">
      <c r="A67" s="38">
        <v>45561.0</v>
      </c>
      <c r="B67" s="40"/>
      <c r="C67" s="40"/>
      <c r="D67" s="40"/>
      <c r="E67" s="40"/>
      <c r="F67" s="40"/>
      <c r="G67" s="40"/>
      <c r="H67" s="39">
        <v>27.0</v>
      </c>
      <c r="I67" s="40"/>
      <c r="J67" s="40"/>
      <c r="K67" s="39">
        <v>175.0</v>
      </c>
      <c r="L67" s="39">
        <v>379.0</v>
      </c>
      <c r="M67" s="39">
        <v>1262.0</v>
      </c>
      <c r="N67" s="40"/>
      <c r="O67" s="40"/>
      <c r="P67" s="40"/>
      <c r="Q67" s="39">
        <v>59.0</v>
      </c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38">
        <v>45562.0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39">
        <v>405.0</v>
      </c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38">
        <v>45563.0</v>
      </c>
      <c r="B69" s="40"/>
      <c r="C69" s="40"/>
      <c r="D69" s="40"/>
      <c r="E69" s="40"/>
      <c r="F69" s="39">
        <v>348.0</v>
      </c>
      <c r="G69" s="40"/>
      <c r="H69" s="40"/>
      <c r="I69" s="40"/>
      <c r="J69" s="39">
        <v>131.0</v>
      </c>
      <c r="K69" s="40"/>
      <c r="L69" s="40"/>
      <c r="M69" s="39">
        <v>241.0</v>
      </c>
      <c r="N69" s="40"/>
      <c r="O69" s="39">
        <v>51.0</v>
      </c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38">
        <v>45566.0</v>
      </c>
      <c r="B70" s="39">
        <v>132.0</v>
      </c>
      <c r="C70" s="40"/>
      <c r="D70" s="40"/>
      <c r="E70" s="40"/>
      <c r="F70" s="40"/>
      <c r="G70" s="40"/>
      <c r="H70" s="39">
        <v>16.0</v>
      </c>
      <c r="I70" s="40"/>
      <c r="J70" s="40"/>
      <c r="K70" s="39">
        <v>906.0</v>
      </c>
      <c r="L70" s="39">
        <v>289.0</v>
      </c>
      <c r="M70" s="39">
        <v>350.0</v>
      </c>
      <c r="N70" s="40"/>
      <c r="O70" s="39">
        <v>118.0</v>
      </c>
      <c r="P70" s="40"/>
      <c r="Q70" s="40"/>
      <c r="R70" s="40"/>
      <c r="S70" s="39">
        <v>253.0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38">
        <v>45570.0</v>
      </c>
      <c r="B71" s="40"/>
      <c r="C71" s="40"/>
      <c r="D71" s="40"/>
      <c r="E71" s="40"/>
      <c r="F71" s="40"/>
      <c r="G71" s="40"/>
      <c r="H71" s="39">
        <v>119.0</v>
      </c>
      <c r="I71" s="40"/>
      <c r="J71" s="40"/>
      <c r="K71" s="39">
        <v>401.0</v>
      </c>
      <c r="L71" s="40"/>
      <c r="M71" s="40"/>
      <c r="N71" s="40"/>
      <c r="O71" s="40"/>
      <c r="P71" s="40"/>
      <c r="Q71" s="39">
        <v>136.0</v>
      </c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38">
        <v>45571.0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39">
        <v>223.0</v>
      </c>
      <c r="M72" s="40"/>
      <c r="N72" s="40"/>
      <c r="O72" s="40"/>
      <c r="P72" s="40"/>
      <c r="Q72" s="39">
        <v>130.0</v>
      </c>
      <c r="R72" s="40"/>
      <c r="S72" s="40"/>
      <c r="T72" s="40">
        <f>2023+1572</f>
        <v>3595</v>
      </c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38">
        <v>45572.0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39">
        <v>135.0</v>
      </c>
      <c r="X73" s="40"/>
      <c r="Y73" s="40"/>
      <c r="Z73" s="40"/>
      <c r="AA73" s="40"/>
      <c r="AB73" s="40"/>
      <c r="AC73" s="40"/>
      <c r="AD73" s="40"/>
      <c r="AE73" s="40"/>
    </row>
    <row r="74">
      <c r="A74" s="38">
        <v>45575.0</v>
      </c>
      <c r="B74" s="40"/>
      <c r="C74" s="40"/>
      <c r="D74" s="40"/>
      <c r="E74" s="40"/>
      <c r="F74" s="40"/>
      <c r="G74" s="40"/>
      <c r="H74" s="39">
        <v>50.0</v>
      </c>
      <c r="I74" s="40"/>
      <c r="J74" s="40"/>
      <c r="K74" s="40"/>
      <c r="L74" s="40"/>
      <c r="M74" s="40"/>
      <c r="N74" s="40"/>
      <c r="O74" s="39">
        <v>35.0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38">
        <v>45578.0</v>
      </c>
      <c r="B75" s="40"/>
      <c r="C75" s="40"/>
      <c r="D75" s="40"/>
      <c r="E75" s="40"/>
      <c r="F75" s="40"/>
      <c r="G75" s="40"/>
      <c r="H75" s="39">
        <v>46.0</v>
      </c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38">
        <v>45579.0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39">
        <v>613.0</v>
      </c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38">
        <v>45582.0</v>
      </c>
      <c r="B77" s="40"/>
      <c r="C77" s="40"/>
      <c r="D77" s="40"/>
      <c r="E77" s="40"/>
      <c r="F77" s="40"/>
      <c r="G77" s="39">
        <v>67.0</v>
      </c>
      <c r="H77" s="40"/>
      <c r="I77" s="40"/>
      <c r="J77" s="40"/>
      <c r="K77" s="39">
        <v>182.0</v>
      </c>
      <c r="L77" s="40"/>
      <c r="M77" s="39">
        <v>1185.0</v>
      </c>
      <c r="N77" s="40"/>
      <c r="O77" s="39">
        <v>32.0</v>
      </c>
      <c r="P77" s="40"/>
      <c r="Q77" s="39">
        <v>68.0</v>
      </c>
      <c r="R77" s="40"/>
      <c r="S77" s="39">
        <v>1081.0</v>
      </c>
      <c r="T77" s="40"/>
      <c r="U77" s="40"/>
      <c r="V77" s="40"/>
      <c r="W77" s="40"/>
      <c r="X77" s="39">
        <v>40.0</v>
      </c>
      <c r="Y77" s="40"/>
      <c r="Z77" s="40"/>
      <c r="AA77" s="40"/>
      <c r="AB77" s="40"/>
      <c r="AC77" s="40"/>
      <c r="AD77" s="40"/>
      <c r="AE77" s="40"/>
    </row>
    <row r="78">
      <c r="A78" s="38">
        <v>45584.0</v>
      </c>
      <c r="B78" s="40"/>
      <c r="C78" s="40"/>
      <c r="D78" s="40"/>
      <c r="E78" s="40"/>
      <c r="F78" s="40"/>
      <c r="G78" s="39">
        <v>82.0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38">
        <v>45585.0</v>
      </c>
      <c r="B79" s="40"/>
      <c r="C79" s="40"/>
      <c r="D79" s="40"/>
      <c r="E79" s="40"/>
      <c r="F79" s="40"/>
      <c r="G79" s="39">
        <v>16.0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38">
        <v>45609.0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>
        <f>281-259</f>
        <v>22</v>
      </c>
      <c r="Z80" s="40"/>
      <c r="AA80" s="40"/>
      <c r="AB80" s="40"/>
      <c r="AC80" s="40"/>
      <c r="AD80" s="40"/>
      <c r="AE80" s="40"/>
    </row>
    <row r="81">
      <c r="A81" s="41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41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>
      <c r="A83" s="41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>
      <c r="A84" s="41"/>
      <c r="B84" s="40">
        <f t="shared" ref="B84:Y84" si="1">SUM(B2:B80)</f>
        <v>3899</v>
      </c>
      <c r="C84" s="40">
        <f t="shared" si="1"/>
        <v>52</v>
      </c>
      <c r="D84" s="40">
        <f t="shared" si="1"/>
        <v>627</v>
      </c>
      <c r="E84" s="40">
        <f t="shared" si="1"/>
        <v>295</v>
      </c>
      <c r="F84" s="40">
        <f t="shared" si="1"/>
        <v>15381</v>
      </c>
      <c r="G84" s="40">
        <f t="shared" si="1"/>
        <v>1085</v>
      </c>
      <c r="H84" s="40">
        <f t="shared" si="1"/>
        <v>561</v>
      </c>
      <c r="I84" s="40">
        <f t="shared" si="1"/>
        <v>774</v>
      </c>
      <c r="J84" s="40">
        <f t="shared" si="1"/>
        <v>2396</v>
      </c>
      <c r="K84" s="40">
        <f t="shared" si="1"/>
        <v>3061</v>
      </c>
      <c r="L84" s="40">
        <f t="shared" si="1"/>
        <v>1011</v>
      </c>
      <c r="M84" s="40">
        <f t="shared" si="1"/>
        <v>10167</v>
      </c>
      <c r="N84" s="40">
        <f t="shared" si="1"/>
        <v>3019</v>
      </c>
      <c r="O84" s="40">
        <f t="shared" si="1"/>
        <v>1810</v>
      </c>
      <c r="P84" s="40">
        <f t="shared" si="1"/>
        <v>22981</v>
      </c>
      <c r="Q84" s="40">
        <f t="shared" si="1"/>
        <v>2079</v>
      </c>
      <c r="R84" s="40">
        <f t="shared" si="1"/>
        <v>550</v>
      </c>
      <c r="S84" s="40">
        <f t="shared" si="1"/>
        <v>10540</v>
      </c>
      <c r="T84" s="40">
        <f t="shared" si="1"/>
        <v>4913</v>
      </c>
      <c r="U84" s="40">
        <f t="shared" si="1"/>
        <v>133</v>
      </c>
      <c r="V84" s="40">
        <f t="shared" si="1"/>
        <v>5504</v>
      </c>
      <c r="W84" s="40">
        <f t="shared" si="1"/>
        <v>462</v>
      </c>
      <c r="X84" s="40">
        <f t="shared" si="1"/>
        <v>74</v>
      </c>
      <c r="Y84" s="40">
        <f t="shared" si="1"/>
        <v>22</v>
      </c>
      <c r="Z84" s="40"/>
      <c r="AA84" s="40"/>
      <c r="AB84" s="40"/>
      <c r="AC84" s="40"/>
      <c r="AD84" s="40"/>
      <c r="AE84" s="40"/>
    </row>
    <row r="85">
      <c r="A85" s="41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>
      <c r="A86" s="41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>
      <c r="A87" s="41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>
      <c r="A88" s="41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>
      <c r="A89" s="41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>
      <c r="A90" s="41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>
      <c r="A91" s="41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>
      <c r="A92" s="41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>
      <c r="A93" s="41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>
      <c r="A94" s="41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>
      <c r="A95" s="41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>
      <c r="A96" s="41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>
      <c r="A97" s="41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>
      <c r="A98" s="41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>
      <c r="A99" s="41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>
      <c r="A100" s="41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>
      <c r="A101" s="41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>
      <c r="A102" s="41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>
      <c r="A103" s="41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>
      <c r="A104" s="41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>
      <c r="A105" s="41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>
      <c r="A106" s="41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>
      <c r="A107" s="41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>
      <c r="A108" s="41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>
      <c r="A109" s="41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>
      <c r="A110" s="41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>
      <c r="A111" s="41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>
      <c r="A112" s="41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>
      <c r="A113" s="41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>
      <c r="A114" s="41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</row>
    <row r="115">
      <c r="A115" s="41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</row>
    <row r="116">
      <c r="A116" s="41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</row>
    <row r="117">
      <c r="A117" s="41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</row>
    <row r="118">
      <c r="A118" s="41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  <row r="119">
      <c r="A119" s="41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</row>
    <row r="120">
      <c r="A120" s="41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</row>
    <row r="121">
      <c r="A121" s="41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</row>
    <row r="122">
      <c r="A122" s="41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</row>
    <row r="123">
      <c r="A123" s="41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</row>
    <row r="124">
      <c r="A124" s="41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</row>
    <row r="125">
      <c r="A125" s="41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</row>
    <row r="126">
      <c r="A126" s="41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</row>
    <row r="127">
      <c r="A127" s="41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</row>
    <row r="128">
      <c r="A128" s="41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</row>
    <row r="129">
      <c r="A129" s="41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</row>
    <row r="130">
      <c r="A130" s="41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</row>
    <row r="131">
      <c r="A131" s="41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</row>
    <row r="132">
      <c r="A132" s="41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</row>
    <row r="133">
      <c r="A133" s="41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</row>
    <row r="134">
      <c r="A134" s="41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</row>
    <row r="135">
      <c r="A135" s="41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</row>
    <row r="136">
      <c r="A136" s="41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</row>
    <row r="137">
      <c r="A137" s="41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</row>
    <row r="138">
      <c r="A138" s="41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</row>
    <row r="139">
      <c r="A139" s="41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</row>
    <row r="140">
      <c r="A140" s="41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  <row r="141">
      <c r="A141" s="41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</row>
    <row r="142">
      <c r="A142" s="41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</row>
    <row r="143">
      <c r="A143" s="41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</row>
    <row r="144">
      <c r="A144" s="41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</row>
    <row r="145">
      <c r="A145" s="41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</row>
    <row r="146">
      <c r="A146" s="41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</row>
    <row r="147">
      <c r="A147" s="41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</row>
    <row r="148">
      <c r="A148" s="41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</row>
    <row r="149">
      <c r="A149" s="41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</row>
    <row r="150">
      <c r="A150" s="41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>
      <c r="A151" s="41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</row>
    <row r="152">
      <c r="A152" s="41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</row>
    <row r="153">
      <c r="A153" s="41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</row>
    <row r="154">
      <c r="A154" s="41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</row>
    <row r="155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</row>
    <row r="156">
      <c r="A156" s="41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</row>
    <row r="157">
      <c r="A157" s="41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</row>
    <row r="158">
      <c r="A158" s="41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</row>
    <row r="159">
      <c r="A159" s="41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</row>
    <row r="160">
      <c r="A160" s="41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</row>
    <row r="161">
      <c r="A161" s="41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</row>
    <row r="162">
      <c r="A162" s="41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</row>
    <row r="163">
      <c r="A163" s="41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</row>
    <row r="164">
      <c r="A164" s="41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</row>
    <row r="165">
      <c r="A165" s="41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</row>
    <row r="166">
      <c r="A166" s="41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</row>
    <row r="167">
      <c r="A167" s="41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</row>
    <row r="168">
      <c r="A168" s="41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</row>
    <row r="169">
      <c r="A169" s="41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</row>
    <row r="170">
      <c r="A170" s="41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</row>
    <row r="171">
      <c r="A171" s="41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</row>
    <row r="172">
      <c r="A172" s="41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</row>
    <row r="173">
      <c r="A173" s="41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</row>
    <row r="174">
      <c r="A174" s="41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</row>
    <row r="175">
      <c r="A175" s="41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  <row r="176">
      <c r="A176" s="41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</row>
    <row r="177">
      <c r="A177" s="41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</row>
    <row r="178">
      <c r="A178" s="41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</row>
    <row r="179">
      <c r="A179" s="41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</row>
    <row r="180">
      <c r="A180" s="41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</row>
    <row r="181">
      <c r="A181" s="41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</row>
    <row r="182">
      <c r="A182" s="41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</row>
    <row r="183">
      <c r="A183" s="41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</row>
    <row r="184">
      <c r="A184" s="41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</row>
    <row r="185">
      <c r="A185" s="41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</row>
    <row r="186">
      <c r="A186" s="41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</row>
    <row r="187">
      <c r="A187" s="41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</row>
    <row r="188">
      <c r="A188" s="41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</row>
    <row r="189">
      <c r="A189" s="41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</row>
    <row r="190">
      <c r="A190" s="41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</row>
    <row r="191">
      <c r="A191" s="41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</row>
    <row r="192">
      <c r="A192" s="41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</row>
    <row r="193">
      <c r="A193" s="41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</row>
    <row r="194">
      <c r="A194" s="41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</row>
    <row r="195">
      <c r="A195" s="41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</row>
    <row r="196">
      <c r="A196" s="41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>
      <c r="A197" s="41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</row>
    <row r="198">
      <c r="A198" s="41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  <row r="199">
      <c r="A199" s="41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</row>
    <row r="200">
      <c r="A200" s="41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</row>
    <row r="201">
      <c r="A201" s="41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</row>
    <row r="202">
      <c r="A202" s="41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</row>
    <row r="203">
      <c r="A203" s="41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</row>
    <row r="204">
      <c r="A204" s="41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</row>
    <row r="205">
      <c r="A205" s="41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</row>
    <row r="206">
      <c r="A206" s="41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</row>
    <row r="207">
      <c r="A207" s="41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  <row r="208">
      <c r="A208" s="41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</row>
    <row r="209">
      <c r="A209" s="41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</row>
    <row r="210">
      <c r="A210" s="41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</row>
    <row r="211">
      <c r="A211" s="41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</row>
    <row r="212">
      <c r="A212" s="41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</row>
    <row r="213">
      <c r="A213" s="41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</row>
    <row r="214">
      <c r="A214" s="41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</row>
    <row r="215">
      <c r="A215" s="41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</row>
    <row r="216">
      <c r="A216" s="41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</row>
    <row r="217">
      <c r="A217" s="41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</row>
    <row r="218">
      <c r="A218" s="41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>
      <c r="A219" s="41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</row>
    <row r="220">
      <c r="A220" s="41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</row>
    <row r="221">
      <c r="A221" s="41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</row>
    <row r="222">
      <c r="A222" s="41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</row>
    <row r="223">
      <c r="A223" s="41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</row>
    <row r="224">
      <c r="A224" s="41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</row>
    <row r="225">
      <c r="A225" s="41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</row>
    <row r="226">
      <c r="A226" s="41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</row>
    <row r="227">
      <c r="A227" s="41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</row>
    <row r="228">
      <c r="A228" s="41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</row>
    <row r="229">
      <c r="A229" s="41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</row>
    <row r="230">
      <c r="A230" s="41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</row>
    <row r="231">
      <c r="A231" s="41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</row>
    <row r="232">
      <c r="A232" s="41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</row>
    <row r="233">
      <c r="A233" s="41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</row>
    <row r="234">
      <c r="A234" s="41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</row>
    <row r="235">
      <c r="A235" s="41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</row>
    <row r="236">
      <c r="A236" s="41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</row>
    <row r="237">
      <c r="A237" s="41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</row>
    <row r="238">
      <c r="A238" s="41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</row>
    <row r="239">
      <c r="A239" s="41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</row>
    <row r="240">
      <c r="A240" s="41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</row>
    <row r="241">
      <c r="A241" s="41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</row>
    <row r="242">
      <c r="A242" s="41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</row>
    <row r="243">
      <c r="A243" s="41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</row>
    <row r="244">
      <c r="A244" s="41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</row>
    <row r="245">
      <c r="A245" s="41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</row>
    <row r="246">
      <c r="A246" s="41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</row>
    <row r="247">
      <c r="A247" s="41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</row>
    <row r="248">
      <c r="A248" s="41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</row>
    <row r="249">
      <c r="A249" s="41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</row>
    <row r="250">
      <c r="A250" s="41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</row>
    <row r="251">
      <c r="A251" s="41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</row>
    <row r="252">
      <c r="A252" s="41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</row>
    <row r="253">
      <c r="A253" s="41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</row>
    <row r="254">
      <c r="A254" s="41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</row>
    <row r="255">
      <c r="A255" s="41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</row>
    <row r="256">
      <c r="A256" s="41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</row>
    <row r="257">
      <c r="A257" s="41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</row>
    <row r="258">
      <c r="A258" s="41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</row>
    <row r="259">
      <c r="A259" s="41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</row>
    <row r="260">
      <c r="A260" s="41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</row>
    <row r="261">
      <c r="A261" s="41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</row>
    <row r="262">
      <c r="A262" s="41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</row>
    <row r="263">
      <c r="A263" s="41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</row>
    <row r="264">
      <c r="A264" s="41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</row>
    <row r="265">
      <c r="A265" s="41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</row>
    <row r="266">
      <c r="A266" s="41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</row>
    <row r="267">
      <c r="A267" s="41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</row>
    <row r="268">
      <c r="A268" s="41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</row>
    <row r="269">
      <c r="A269" s="41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</row>
    <row r="270">
      <c r="A270" s="41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</row>
    <row r="271">
      <c r="A271" s="41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</row>
    <row r="272">
      <c r="A272" s="41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</row>
    <row r="273">
      <c r="A273" s="41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</row>
    <row r="274">
      <c r="A274" s="41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</row>
    <row r="275">
      <c r="A275" s="41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</row>
    <row r="276">
      <c r="A276" s="41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</row>
    <row r="277">
      <c r="A277" s="41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</row>
    <row r="278">
      <c r="A278" s="41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</row>
    <row r="279">
      <c r="A279" s="41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</row>
    <row r="280">
      <c r="A280" s="41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</row>
    <row r="281">
      <c r="A281" s="41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</row>
    <row r="282">
      <c r="A282" s="41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</row>
    <row r="283">
      <c r="A283" s="41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</row>
    <row r="284">
      <c r="A284" s="41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</row>
    <row r="285">
      <c r="A285" s="41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</row>
    <row r="286">
      <c r="A286" s="41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</row>
    <row r="287">
      <c r="A287" s="41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</row>
    <row r="288">
      <c r="A288" s="41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</row>
    <row r="289">
      <c r="A289" s="41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</row>
    <row r="290">
      <c r="A290" s="41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</row>
    <row r="291">
      <c r="A291" s="41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</row>
    <row r="292">
      <c r="A292" s="41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</row>
    <row r="293">
      <c r="A293" s="41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</row>
    <row r="294">
      <c r="A294" s="41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  <row r="295">
      <c r="A295" s="41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</row>
    <row r="296">
      <c r="A296" s="41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</row>
    <row r="297">
      <c r="A297" s="41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</row>
    <row r="298">
      <c r="A298" s="41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</row>
    <row r="299">
      <c r="A299" s="41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</row>
    <row r="300">
      <c r="A300" s="41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</row>
    <row r="301">
      <c r="A301" s="41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</row>
    <row r="302">
      <c r="A302" s="41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</row>
    <row r="303">
      <c r="A303" s="41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</row>
    <row r="304">
      <c r="A304" s="41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</row>
    <row r="305">
      <c r="A305" s="41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</row>
    <row r="306">
      <c r="A306" s="41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</row>
    <row r="307">
      <c r="A307" s="41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</row>
    <row r="308">
      <c r="A308" s="41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</row>
    <row r="309">
      <c r="A309" s="41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</row>
    <row r="310">
      <c r="A310" s="41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</row>
    <row r="311">
      <c r="A311" s="41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</row>
    <row r="312">
      <c r="A312" s="41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</row>
    <row r="313">
      <c r="A313" s="41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</row>
    <row r="314">
      <c r="A314" s="41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</row>
    <row r="315">
      <c r="A315" s="41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</row>
    <row r="316">
      <c r="A316" s="41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</row>
    <row r="317">
      <c r="A317" s="41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</row>
    <row r="318">
      <c r="A318" s="41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</row>
    <row r="319">
      <c r="A319" s="41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</row>
    <row r="320">
      <c r="A320" s="41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</row>
    <row r="321">
      <c r="A321" s="41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</row>
    <row r="322">
      <c r="A322" s="41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</row>
    <row r="323">
      <c r="A323" s="41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</row>
    <row r="324">
      <c r="A324" s="41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</row>
    <row r="325">
      <c r="A325" s="41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</row>
    <row r="326">
      <c r="A326" s="41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</row>
    <row r="327">
      <c r="A327" s="41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</row>
    <row r="328">
      <c r="A328" s="41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</row>
    <row r="329">
      <c r="A329" s="41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</row>
    <row r="330">
      <c r="A330" s="41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</row>
    <row r="331">
      <c r="A331" s="41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</row>
    <row r="332">
      <c r="A332" s="41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</row>
    <row r="333">
      <c r="A333" s="41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</row>
    <row r="334">
      <c r="A334" s="4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</row>
    <row r="335">
      <c r="A335" s="4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</row>
    <row r="336">
      <c r="A336" s="41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</row>
    <row r="337">
      <c r="A337" s="41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</row>
    <row r="338">
      <c r="A338" s="41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</row>
    <row r="339">
      <c r="A339" s="41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</row>
    <row r="340">
      <c r="A340" s="41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</row>
    <row r="341">
      <c r="A341" s="41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</row>
    <row r="342">
      <c r="A342" s="41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</row>
    <row r="343">
      <c r="A343" s="41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</row>
    <row r="344">
      <c r="A344" s="41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</row>
    <row r="345">
      <c r="A345" s="41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</row>
    <row r="346">
      <c r="A346" s="41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</row>
    <row r="347">
      <c r="A347" s="41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</row>
    <row r="348">
      <c r="A348" s="41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</row>
    <row r="349">
      <c r="A349" s="41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</row>
    <row r="350">
      <c r="A350" s="41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</row>
    <row r="351">
      <c r="A351" s="41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</row>
    <row r="352">
      <c r="A352" s="41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</row>
    <row r="353">
      <c r="A353" s="41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</row>
    <row r="354">
      <c r="A354" s="41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</row>
    <row r="355">
      <c r="A355" s="41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</row>
    <row r="356">
      <c r="A356" s="41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</row>
    <row r="357">
      <c r="A357" s="41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</row>
    <row r="358">
      <c r="A358" s="41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</row>
    <row r="359">
      <c r="A359" s="41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</row>
    <row r="360">
      <c r="A360" s="41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</row>
    <row r="361">
      <c r="A361" s="4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</row>
    <row r="362">
      <c r="A362" s="41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</row>
    <row r="363">
      <c r="A363" s="41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</row>
    <row r="364">
      <c r="A364" s="41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</row>
    <row r="365">
      <c r="A365" s="41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</row>
    <row r="366">
      <c r="A366" s="41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</row>
    <row r="367">
      <c r="A367" s="41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</row>
    <row r="368">
      <c r="A368" s="41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</row>
    <row r="369">
      <c r="A369" s="41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</row>
    <row r="370">
      <c r="A370" s="41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</row>
    <row r="371">
      <c r="A371" s="41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</row>
    <row r="372">
      <c r="A372" s="41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</row>
    <row r="373">
      <c r="A373" s="41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</row>
    <row r="374">
      <c r="A374" s="41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</row>
    <row r="375">
      <c r="A375" s="41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</row>
    <row r="376">
      <c r="A376" s="41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</row>
    <row r="377">
      <c r="A377" s="41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</row>
    <row r="378">
      <c r="A378" s="41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</row>
    <row r="379">
      <c r="A379" s="41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</row>
    <row r="380">
      <c r="A380" s="41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</row>
    <row r="381">
      <c r="A381" s="41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</row>
    <row r="382">
      <c r="A382" s="41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>
      <c r="A383" s="41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</row>
    <row r="384">
      <c r="A384" s="41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</row>
    <row r="385">
      <c r="A385" s="41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</row>
    <row r="386">
      <c r="A386" s="41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</row>
    <row r="387">
      <c r="A387" s="41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</row>
    <row r="388">
      <c r="A388" s="41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</row>
    <row r="389">
      <c r="A389" s="41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</row>
    <row r="390">
      <c r="A390" s="41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</row>
    <row r="391">
      <c r="A391" s="41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</row>
    <row r="392">
      <c r="A392" s="41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</row>
    <row r="393">
      <c r="A393" s="41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</row>
    <row r="394">
      <c r="A394" s="41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</row>
    <row r="395">
      <c r="A395" s="41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</row>
    <row r="396">
      <c r="A396" s="41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</row>
    <row r="397">
      <c r="A397" s="41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</row>
    <row r="398">
      <c r="A398" s="41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</row>
    <row r="399">
      <c r="A399" s="41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</row>
    <row r="400">
      <c r="A400" s="41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</row>
    <row r="401">
      <c r="A401" s="41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</row>
    <row r="402">
      <c r="A402" s="41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</row>
    <row r="403">
      <c r="A403" s="41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</row>
    <row r="404">
      <c r="A404" s="41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</row>
    <row r="405">
      <c r="A405" s="41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</row>
    <row r="406">
      <c r="A406" s="41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</row>
    <row r="407">
      <c r="A407" s="41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</row>
    <row r="408">
      <c r="A408" s="41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</row>
    <row r="409">
      <c r="A409" s="41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</row>
    <row r="410">
      <c r="A410" s="41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</row>
    <row r="411">
      <c r="A411" s="41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</row>
    <row r="412">
      <c r="A412" s="41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</row>
    <row r="413">
      <c r="A413" s="41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  <row r="414">
      <c r="A414" s="41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</row>
    <row r="415">
      <c r="A415" s="41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</row>
    <row r="416">
      <c r="A416" s="41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</row>
    <row r="417">
      <c r="A417" s="41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</row>
    <row r="418">
      <c r="A418" s="41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</row>
    <row r="419">
      <c r="A419" s="41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</row>
    <row r="420">
      <c r="A420" s="41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</row>
    <row r="421">
      <c r="A421" s="41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</row>
    <row r="422">
      <c r="A422" s="41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</row>
    <row r="423">
      <c r="A423" s="41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</row>
    <row r="424">
      <c r="A424" s="41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</row>
    <row r="425">
      <c r="A425" s="41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</row>
    <row r="426">
      <c r="A426" s="41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</row>
    <row r="427">
      <c r="A427" s="41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</row>
    <row r="428">
      <c r="A428" s="41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</row>
    <row r="429">
      <c r="A429" s="41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</row>
    <row r="430">
      <c r="A430" s="41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</row>
    <row r="431">
      <c r="A431" s="41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</row>
    <row r="432">
      <c r="A432" s="41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</row>
    <row r="433">
      <c r="A433" s="41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</row>
    <row r="434">
      <c r="A434" s="41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</row>
    <row r="435">
      <c r="A435" s="41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</row>
    <row r="436">
      <c r="A436" s="41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</row>
    <row r="437">
      <c r="A437" s="41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</row>
    <row r="438">
      <c r="A438" s="41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</row>
    <row r="439">
      <c r="A439" s="41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</row>
    <row r="440">
      <c r="A440" s="41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</row>
    <row r="441">
      <c r="A441" s="41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</row>
    <row r="442">
      <c r="A442" s="41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</row>
    <row r="443">
      <c r="A443" s="41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</row>
    <row r="444">
      <c r="A444" s="41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</row>
    <row r="445">
      <c r="A445" s="41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</row>
    <row r="446">
      <c r="A446" s="41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</row>
    <row r="447">
      <c r="A447" s="41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</row>
    <row r="448">
      <c r="A448" s="41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</row>
    <row r="449">
      <c r="A449" s="41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</row>
    <row r="450">
      <c r="A450" s="41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</row>
    <row r="451">
      <c r="A451" s="41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</row>
    <row r="452">
      <c r="A452" s="41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</row>
    <row r="453">
      <c r="A453" s="41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</row>
    <row r="454">
      <c r="A454" s="41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</row>
    <row r="455">
      <c r="A455" s="41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</row>
    <row r="456">
      <c r="A456" s="41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</row>
    <row r="457">
      <c r="A457" s="41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</row>
    <row r="458">
      <c r="A458" s="41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</row>
    <row r="459">
      <c r="A459" s="41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</row>
    <row r="460">
      <c r="A460" s="41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</row>
    <row r="461">
      <c r="A461" s="41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</row>
    <row r="462">
      <c r="A462" s="41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</row>
    <row r="463">
      <c r="A463" s="41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</row>
    <row r="464">
      <c r="A464" s="41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</row>
    <row r="465">
      <c r="A465" s="41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</row>
    <row r="466">
      <c r="A466" s="41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</row>
    <row r="467">
      <c r="A467" s="41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</row>
    <row r="468">
      <c r="A468" s="41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</row>
    <row r="469">
      <c r="A469" s="41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</row>
    <row r="470">
      <c r="A470" s="41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</row>
    <row r="471">
      <c r="A471" s="41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</row>
    <row r="472">
      <c r="A472" s="41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</row>
    <row r="473">
      <c r="A473" s="41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</row>
    <row r="474">
      <c r="A474" s="41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</row>
    <row r="475">
      <c r="A475" s="41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</row>
    <row r="476">
      <c r="A476" s="41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</row>
    <row r="477">
      <c r="A477" s="41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</row>
    <row r="478">
      <c r="A478" s="41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</row>
    <row r="479">
      <c r="A479" s="41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</row>
    <row r="480">
      <c r="A480" s="41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</row>
    <row r="481">
      <c r="A481" s="41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</row>
    <row r="482">
      <c r="A482" s="41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</row>
    <row r="483">
      <c r="A483" s="41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</row>
    <row r="484">
      <c r="A484" s="41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</row>
    <row r="485">
      <c r="A485" s="41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</row>
    <row r="486">
      <c r="A486" s="41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</row>
    <row r="487">
      <c r="A487" s="41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</row>
    <row r="488">
      <c r="A488" s="41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>
      <c r="A489" s="41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</row>
    <row r="490">
      <c r="A490" s="41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</row>
    <row r="491">
      <c r="A491" s="41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</row>
    <row r="492">
      <c r="A492" s="41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</row>
    <row r="493">
      <c r="A493" s="41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</row>
    <row r="494">
      <c r="A494" s="41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</row>
    <row r="495">
      <c r="A495" s="41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</row>
    <row r="496">
      <c r="A496" s="41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</row>
    <row r="497">
      <c r="A497" s="41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</row>
    <row r="498">
      <c r="A498" s="41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</row>
    <row r="499">
      <c r="A499" s="41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</row>
    <row r="500">
      <c r="A500" s="41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</row>
    <row r="501">
      <c r="A501" s="41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</row>
    <row r="502">
      <c r="A502" s="41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</row>
    <row r="503">
      <c r="A503" s="41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</row>
    <row r="504">
      <c r="A504" s="41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</row>
    <row r="505">
      <c r="A505" s="41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</row>
    <row r="506">
      <c r="A506" s="41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</row>
    <row r="507">
      <c r="A507" s="41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</row>
    <row r="508">
      <c r="A508" s="41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</row>
    <row r="509">
      <c r="A509" s="41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</row>
    <row r="510">
      <c r="A510" s="41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</row>
    <row r="511">
      <c r="A511" s="41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</row>
    <row r="512">
      <c r="A512" s="41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</row>
    <row r="513">
      <c r="A513" s="41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</row>
    <row r="514">
      <c r="A514" s="41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</row>
    <row r="515">
      <c r="A515" s="41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</row>
    <row r="516">
      <c r="A516" s="41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</row>
    <row r="517">
      <c r="A517" s="41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</row>
    <row r="518">
      <c r="A518" s="41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</row>
    <row r="519">
      <c r="A519" s="41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</row>
    <row r="520">
      <c r="A520" s="41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</row>
    <row r="521">
      <c r="A521" s="41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</row>
    <row r="522">
      <c r="A522" s="41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</row>
    <row r="523">
      <c r="A523" s="41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</row>
    <row r="524">
      <c r="A524" s="41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</row>
    <row r="525">
      <c r="A525" s="41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</row>
    <row r="526">
      <c r="A526" s="41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</row>
    <row r="527">
      <c r="A527" s="41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</row>
    <row r="528">
      <c r="A528" s="41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</row>
    <row r="529">
      <c r="A529" s="41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</row>
    <row r="530">
      <c r="A530" s="41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</row>
    <row r="531">
      <c r="A531" s="41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</row>
    <row r="532">
      <c r="A532" s="41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</row>
    <row r="533">
      <c r="A533" s="41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</row>
    <row r="534">
      <c r="A534" s="41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</row>
    <row r="535">
      <c r="A535" s="41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</row>
    <row r="536">
      <c r="A536" s="41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</row>
    <row r="537">
      <c r="A537" s="41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</row>
    <row r="538">
      <c r="A538" s="41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</row>
    <row r="539">
      <c r="A539" s="41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</row>
    <row r="540">
      <c r="A540" s="41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</row>
    <row r="541">
      <c r="A541" s="41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</row>
    <row r="542">
      <c r="A542" s="41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</row>
    <row r="543">
      <c r="A543" s="41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</row>
    <row r="544">
      <c r="A544" s="41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</row>
    <row r="545">
      <c r="A545" s="41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</row>
    <row r="546">
      <c r="A546" s="41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</row>
    <row r="547">
      <c r="A547" s="41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</row>
    <row r="548">
      <c r="A548" s="41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</row>
    <row r="549">
      <c r="A549" s="41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</row>
    <row r="550">
      <c r="A550" s="41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</row>
    <row r="551">
      <c r="A551" s="41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</row>
    <row r="552">
      <c r="A552" s="41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</row>
    <row r="553">
      <c r="A553" s="41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</row>
    <row r="554">
      <c r="A554" s="41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</row>
    <row r="555">
      <c r="A555" s="41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</row>
    <row r="556">
      <c r="A556" s="41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</row>
    <row r="557">
      <c r="A557" s="41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</row>
    <row r="558">
      <c r="A558" s="41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</row>
    <row r="559">
      <c r="A559" s="41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</row>
    <row r="560">
      <c r="A560" s="41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</row>
    <row r="561">
      <c r="A561" s="41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</row>
    <row r="562">
      <c r="A562" s="41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</row>
    <row r="563">
      <c r="A563" s="41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</row>
    <row r="564">
      <c r="A564" s="41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</row>
    <row r="565">
      <c r="A565" s="41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</row>
    <row r="566">
      <c r="A566" s="41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</row>
    <row r="567">
      <c r="A567" s="41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</row>
    <row r="568">
      <c r="A568" s="41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</row>
    <row r="569">
      <c r="A569" s="41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</row>
    <row r="570">
      <c r="A570" s="41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</row>
    <row r="571">
      <c r="A571" s="41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</row>
    <row r="572">
      <c r="A572" s="41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</row>
    <row r="573">
      <c r="A573" s="41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</row>
    <row r="574">
      <c r="A574" s="41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</row>
    <row r="575">
      <c r="A575" s="41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</row>
    <row r="576">
      <c r="A576" s="41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</row>
    <row r="577">
      <c r="A577" s="41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</row>
    <row r="578">
      <c r="A578" s="41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</row>
    <row r="579">
      <c r="A579" s="41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</row>
    <row r="580">
      <c r="A580" s="41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</row>
    <row r="581">
      <c r="A581" s="41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</row>
    <row r="582">
      <c r="A582" s="41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</row>
    <row r="583">
      <c r="A583" s="41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  <row r="584">
      <c r="A584" s="41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</row>
    <row r="585">
      <c r="A585" s="41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</row>
    <row r="586">
      <c r="A586" s="41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</row>
    <row r="587">
      <c r="A587" s="41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</row>
    <row r="588">
      <c r="A588" s="41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</row>
    <row r="589">
      <c r="A589" s="41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</row>
    <row r="590">
      <c r="A590" s="41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</row>
    <row r="591">
      <c r="A591" s="41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</row>
    <row r="592">
      <c r="A592" s="41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</row>
    <row r="593">
      <c r="A593" s="41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</row>
    <row r="594">
      <c r="A594" s="41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</row>
    <row r="595">
      <c r="A595" s="41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</row>
    <row r="596">
      <c r="A596" s="41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</row>
    <row r="597">
      <c r="A597" s="41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</row>
    <row r="598">
      <c r="A598" s="41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</row>
    <row r="599">
      <c r="A599" s="41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</row>
    <row r="600">
      <c r="A600" s="41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</row>
    <row r="601">
      <c r="A601" s="41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</row>
    <row r="602">
      <c r="A602" s="41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</row>
    <row r="603">
      <c r="A603" s="41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</row>
    <row r="604">
      <c r="A604" s="41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</row>
    <row r="605">
      <c r="A605" s="41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</row>
    <row r="606">
      <c r="A606" s="41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</row>
    <row r="607">
      <c r="A607" s="41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</row>
    <row r="608">
      <c r="A608" s="41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</row>
    <row r="609">
      <c r="A609" s="41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</row>
    <row r="610">
      <c r="A610" s="41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</row>
    <row r="611">
      <c r="A611" s="41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</row>
    <row r="612">
      <c r="A612" s="41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</row>
    <row r="613">
      <c r="A613" s="41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</row>
    <row r="614">
      <c r="A614" s="41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</row>
    <row r="615">
      <c r="A615" s="41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</row>
    <row r="616">
      <c r="A616" s="41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</row>
    <row r="617">
      <c r="A617" s="41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</row>
    <row r="618">
      <c r="A618" s="41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</row>
    <row r="619">
      <c r="A619" s="41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</row>
    <row r="620">
      <c r="A620" s="41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</row>
    <row r="621">
      <c r="A621" s="41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</row>
    <row r="622">
      <c r="A622" s="41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</row>
    <row r="623">
      <c r="A623" s="41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>
      <c r="A624" s="41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</row>
    <row r="625">
      <c r="A625" s="41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</row>
    <row r="626">
      <c r="A626" s="41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</row>
    <row r="627">
      <c r="A627" s="41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</row>
    <row r="628">
      <c r="A628" s="41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</row>
    <row r="629">
      <c r="A629" s="41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</row>
    <row r="630">
      <c r="A630" s="41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</row>
    <row r="631">
      <c r="A631" s="41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</row>
    <row r="632">
      <c r="A632" s="41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</row>
    <row r="633">
      <c r="A633" s="41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</row>
    <row r="634">
      <c r="A634" s="41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</row>
    <row r="635">
      <c r="A635" s="41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</row>
    <row r="636">
      <c r="A636" s="41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</row>
    <row r="637">
      <c r="A637" s="41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</row>
    <row r="638">
      <c r="A638" s="41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</row>
    <row r="639">
      <c r="A639" s="41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</row>
    <row r="640">
      <c r="A640" s="41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</row>
    <row r="641">
      <c r="A641" s="41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</row>
    <row r="642">
      <c r="A642" s="41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</row>
    <row r="643">
      <c r="A643" s="41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</row>
    <row r="644">
      <c r="A644" s="41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</row>
    <row r="645">
      <c r="A645" s="41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</row>
    <row r="646">
      <c r="A646" s="41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</row>
    <row r="647">
      <c r="A647" s="41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</row>
    <row r="648">
      <c r="A648" s="41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</row>
    <row r="649">
      <c r="A649" s="41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</row>
    <row r="650">
      <c r="A650" s="41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</row>
    <row r="651">
      <c r="A651" s="41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</row>
    <row r="652">
      <c r="A652" s="41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</row>
    <row r="653">
      <c r="A653" s="41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</row>
    <row r="654">
      <c r="A654" s="41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</row>
    <row r="655">
      <c r="A655" s="41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</row>
    <row r="656">
      <c r="A656" s="41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</row>
    <row r="657">
      <c r="A657" s="41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</row>
    <row r="658">
      <c r="A658" s="41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</row>
    <row r="659">
      <c r="A659" s="41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</row>
    <row r="660">
      <c r="A660" s="41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>
      <c r="A661" s="41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</row>
    <row r="662">
      <c r="A662" s="41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</row>
    <row r="663">
      <c r="A663" s="41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</row>
    <row r="664">
      <c r="A664" s="41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</row>
    <row r="665">
      <c r="A665" s="41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</row>
    <row r="666">
      <c r="A666" s="41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</row>
    <row r="667">
      <c r="A667" s="41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</row>
    <row r="668">
      <c r="A668" s="41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</row>
    <row r="669">
      <c r="A669" s="41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</row>
    <row r="670">
      <c r="A670" s="41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</row>
    <row r="671">
      <c r="A671" s="41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</row>
    <row r="672">
      <c r="A672" s="41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</row>
    <row r="673">
      <c r="A673" s="41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</row>
    <row r="674">
      <c r="A674" s="41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</row>
    <row r="675">
      <c r="A675" s="41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</row>
    <row r="676">
      <c r="A676" s="41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</row>
    <row r="677">
      <c r="A677" s="41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</row>
    <row r="678">
      <c r="A678" s="41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</row>
    <row r="679">
      <c r="A679" s="41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</row>
    <row r="680">
      <c r="A680" s="41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</row>
    <row r="681">
      <c r="A681" s="41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</row>
    <row r="682">
      <c r="A682" s="41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</row>
    <row r="683">
      <c r="A683" s="41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</row>
    <row r="684">
      <c r="A684" s="41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</row>
    <row r="685">
      <c r="A685" s="41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</row>
    <row r="686">
      <c r="A686" s="41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</row>
    <row r="687">
      <c r="A687" s="41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</row>
    <row r="688">
      <c r="A688" s="41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</row>
    <row r="689">
      <c r="A689" s="41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</row>
    <row r="690">
      <c r="A690" s="41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</row>
    <row r="691">
      <c r="A691" s="41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</row>
    <row r="692">
      <c r="A692" s="41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</row>
    <row r="693">
      <c r="A693" s="41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</row>
    <row r="694">
      <c r="A694" s="41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</row>
    <row r="695">
      <c r="A695" s="41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</row>
    <row r="696">
      <c r="A696" s="41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</row>
    <row r="697">
      <c r="A697" s="41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</row>
    <row r="698">
      <c r="A698" s="41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</row>
    <row r="699">
      <c r="A699" s="41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</row>
    <row r="700">
      <c r="A700" s="41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</row>
    <row r="701">
      <c r="A701" s="41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</row>
    <row r="702">
      <c r="A702" s="41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</row>
    <row r="703">
      <c r="A703" s="41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</row>
    <row r="704">
      <c r="A704" s="41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</row>
    <row r="705">
      <c r="A705" s="41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</row>
    <row r="706">
      <c r="A706" s="41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</row>
    <row r="707">
      <c r="A707" s="41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</row>
    <row r="708">
      <c r="A708" s="41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</row>
    <row r="709">
      <c r="A709" s="41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</row>
    <row r="710">
      <c r="A710" s="41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</row>
    <row r="711">
      <c r="A711" s="41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</row>
    <row r="712">
      <c r="A712" s="41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</row>
    <row r="713">
      <c r="A713" s="41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</row>
    <row r="714">
      <c r="A714" s="41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</row>
    <row r="715">
      <c r="A715" s="41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</row>
    <row r="716">
      <c r="A716" s="41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</row>
    <row r="717">
      <c r="A717" s="41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</row>
    <row r="718">
      <c r="A718" s="41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</row>
    <row r="719">
      <c r="A719" s="41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</row>
    <row r="720">
      <c r="A720" s="41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</row>
    <row r="721">
      <c r="A721" s="41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</row>
    <row r="722">
      <c r="A722" s="41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</row>
    <row r="723">
      <c r="A723" s="41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</row>
    <row r="724">
      <c r="A724" s="41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</row>
    <row r="725">
      <c r="A725" s="41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</row>
    <row r="726">
      <c r="A726" s="41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</row>
    <row r="727">
      <c r="A727" s="41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</row>
    <row r="728">
      <c r="A728" s="41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</row>
    <row r="729">
      <c r="A729" s="41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</row>
    <row r="730">
      <c r="A730" s="41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</row>
    <row r="731">
      <c r="A731" s="41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</row>
    <row r="732">
      <c r="A732" s="41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</row>
    <row r="733">
      <c r="A733" s="41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</row>
    <row r="734">
      <c r="A734" s="41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</row>
    <row r="735">
      <c r="A735" s="41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</row>
    <row r="736">
      <c r="A736" s="41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</row>
    <row r="737">
      <c r="A737" s="41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</row>
    <row r="738">
      <c r="A738" s="41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</row>
    <row r="739">
      <c r="A739" s="41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</row>
    <row r="740">
      <c r="A740" s="41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</row>
    <row r="741">
      <c r="A741" s="41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</row>
    <row r="742">
      <c r="A742" s="41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</row>
    <row r="743">
      <c r="A743" s="41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</row>
    <row r="744">
      <c r="A744" s="41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</row>
    <row r="745">
      <c r="A745" s="41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</row>
    <row r="746">
      <c r="A746" s="41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</row>
    <row r="747">
      <c r="A747" s="41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</row>
    <row r="748">
      <c r="A748" s="41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</row>
    <row r="749">
      <c r="A749" s="41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</row>
    <row r="750">
      <c r="A750" s="41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</row>
    <row r="751">
      <c r="A751" s="41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</row>
    <row r="752">
      <c r="A752" s="41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</row>
    <row r="753">
      <c r="A753" s="41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</row>
    <row r="754">
      <c r="A754" s="41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</row>
    <row r="755">
      <c r="A755" s="41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</row>
    <row r="756">
      <c r="A756" s="41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</row>
    <row r="757">
      <c r="A757" s="41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</row>
    <row r="758">
      <c r="A758" s="41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</row>
    <row r="759">
      <c r="A759" s="41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</row>
    <row r="760">
      <c r="A760" s="41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</row>
    <row r="761">
      <c r="A761" s="41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</row>
    <row r="762">
      <c r="A762" s="41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</row>
    <row r="763">
      <c r="A763" s="41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</row>
    <row r="764">
      <c r="A764" s="41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</row>
    <row r="765">
      <c r="A765" s="41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</row>
    <row r="766">
      <c r="A766" s="41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</row>
    <row r="767">
      <c r="A767" s="41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</row>
    <row r="768">
      <c r="A768" s="41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</row>
    <row r="769">
      <c r="A769" s="41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</row>
    <row r="770">
      <c r="A770" s="41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</row>
    <row r="771">
      <c r="A771" s="41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</row>
    <row r="772">
      <c r="A772" s="41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</row>
    <row r="773">
      <c r="A773" s="41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</row>
    <row r="774">
      <c r="A774" s="41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</row>
    <row r="775">
      <c r="A775" s="41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</row>
    <row r="776">
      <c r="A776" s="41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</row>
    <row r="777">
      <c r="A777" s="41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</row>
    <row r="778">
      <c r="A778" s="41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</row>
    <row r="779">
      <c r="A779" s="41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</row>
    <row r="780">
      <c r="A780" s="41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</row>
    <row r="781">
      <c r="A781" s="41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</row>
    <row r="782">
      <c r="A782" s="41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</row>
    <row r="783">
      <c r="A783" s="41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</row>
    <row r="784">
      <c r="A784" s="41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</row>
    <row r="785">
      <c r="A785" s="41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</row>
    <row r="786">
      <c r="A786" s="41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</row>
    <row r="787">
      <c r="A787" s="41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</row>
    <row r="788">
      <c r="A788" s="41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</row>
    <row r="789">
      <c r="A789" s="41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</row>
    <row r="790">
      <c r="A790" s="41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</row>
    <row r="791">
      <c r="A791" s="41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</row>
    <row r="792">
      <c r="A792" s="41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</row>
    <row r="793">
      <c r="A793" s="41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</row>
    <row r="794">
      <c r="A794" s="41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</row>
    <row r="795">
      <c r="A795" s="41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</row>
    <row r="796">
      <c r="A796" s="41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</row>
    <row r="797">
      <c r="A797" s="41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</row>
    <row r="798">
      <c r="A798" s="41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</row>
    <row r="799">
      <c r="A799" s="41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</row>
    <row r="800">
      <c r="A800" s="41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</row>
    <row r="801">
      <c r="A801" s="41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</row>
    <row r="802">
      <c r="A802" s="41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</row>
    <row r="803">
      <c r="A803" s="41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</row>
    <row r="804">
      <c r="A804" s="41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</row>
    <row r="805">
      <c r="A805" s="41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</row>
    <row r="806">
      <c r="A806" s="41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</row>
    <row r="807">
      <c r="A807" s="41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</row>
    <row r="808">
      <c r="A808" s="41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</row>
    <row r="809">
      <c r="A809" s="41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</row>
    <row r="810">
      <c r="A810" s="41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</row>
    <row r="811">
      <c r="A811" s="41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</row>
    <row r="812">
      <c r="A812" s="41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</row>
    <row r="813">
      <c r="A813" s="41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</row>
    <row r="814">
      <c r="A814" s="41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</row>
    <row r="815">
      <c r="A815" s="41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</row>
    <row r="816">
      <c r="A816" s="41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</row>
    <row r="817">
      <c r="A817" s="41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</row>
    <row r="818">
      <c r="A818" s="41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</row>
    <row r="819">
      <c r="A819" s="41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</row>
    <row r="820">
      <c r="A820" s="41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</row>
    <row r="821">
      <c r="A821" s="41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</row>
    <row r="822">
      <c r="A822" s="41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</row>
    <row r="823">
      <c r="A823" s="41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</row>
    <row r="824">
      <c r="A824" s="41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</row>
    <row r="825">
      <c r="A825" s="41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</row>
    <row r="826">
      <c r="A826" s="41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</row>
    <row r="827">
      <c r="A827" s="41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</row>
    <row r="828">
      <c r="A828" s="41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</row>
    <row r="829">
      <c r="A829" s="41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</row>
    <row r="830">
      <c r="A830" s="41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</row>
    <row r="831">
      <c r="A831" s="41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</row>
    <row r="832">
      <c r="A832" s="41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</row>
    <row r="833">
      <c r="A833" s="41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</row>
    <row r="834">
      <c r="A834" s="41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</row>
    <row r="835">
      <c r="A835" s="41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</row>
    <row r="836">
      <c r="A836" s="41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</row>
    <row r="837">
      <c r="A837" s="41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</row>
    <row r="838">
      <c r="A838" s="41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</row>
    <row r="839">
      <c r="A839" s="41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</row>
    <row r="840">
      <c r="A840" s="41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</row>
    <row r="841">
      <c r="A841" s="41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</row>
    <row r="842">
      <c r="A842" s="41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</row>
    <row r="843">
      <c r="A843" s="41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</row>
    <row r="844">
      <c r="A844" s="41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</row>
    <row r="845">
      <c r="A845" s="41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</row>
    <row r="846">
      <c r="A846" s="41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</row>
    <row r="847">
      <c r="A847" s="41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</row>
    <row r="848">
      <c r="A848" s="41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</row>
    <row r="849">
      <c r="A849" s="41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</row>
    <row r="850">
      <c r="A850" s="41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</row>
    <row r="851">
      <c r="A851" s="41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</row>
    <row r="852">
      <c r="A852" s="41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</row>
    <row r="853">
      <c r="A853" s="41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</row>
    <row r="854">
      <c r="A854" s="41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</row>
    <row r="855">
      <c r="A855" s="41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</row>
    <row r="856">
      <c r="A856" s="41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</row>
    <row r="857">
      <c r="A857" s="41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</row>
    <row r="858">
      <c r="A858" s="41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</row>
    <row r="859">
      <c r="A859" s="41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</row>
    <row r="860">
      <c r="A860" s="41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</row>
    <row r="861">
      <c r="A861" s="41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</row>
    <row r="862">
      <c r="A862" s="41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</row>
    <row r="863">
      <c r="A863" s="41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</row>
    <row r="864">
      <c r="A864" s="41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</row>
    <row r="865">
      <c r="A865" s="41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</row>
    <row r="866">
      <c r="A866" s="41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</row>
    <row r="867">
      <c r="A867" s="41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</row>
    <row r="868">
      <c r="A868" s="41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</row>
    <row r="869">
      <c r="A869" s="41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</row>
    <row r="870">
      <c r="A870" s="41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</row>
    <row r="871">
      <c r="A871" s="41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</row>
    <row r="872">
      <c r="A872" s="41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</row>
    <row r="873">
      <c r="A873" s="41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</row>
    <row r="874">
      <c r="A874" s="41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</row>
    <row r="875">
      <c r="A875" s="41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</row>
    <row r="876">
      <c r="A876" s="41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</row>
    <row r="877">
      <c r="A877" s="41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</row>
    <row r="878">
      <c r="A878" s="41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</row>
    <row r="879">
      <c r="A879" s="41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</row>
    <row r="880">
      <c r="A880" s="41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</row>
    <row r="881">
      <c r="A881" s="41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</row>
    <row r="882">
      <c r="A882" s="41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</row>
    <row r="883">
      <c r="A883" s="41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</row>
    <row r="884">
      <c r="A884" s="41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</row>
    <row r="885">
      <c r="A885" s="41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</row>
    <row r="886">
      <c r="A886" s="41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</row>
    <row r="887">
      <c r="A887" s="41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</row>
    <row r="888">
      <c r="A888" s="41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</row>
    <row r="889">
      <c r="A889" s="41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</row>
    <row r="890">
      <c r="A890" s="41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</row>
    <row r="891">
      <c r="A891" s="41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</row>
    <row r="892">
      <c r="A892" s="41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</row>
    <row r="893">
      <c r="A893" s="41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</row>
    <row r="894">
      <c r="A894" s="41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</row>
    <row r="895">
      <c r="A895" s="41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</row>
    <row r="896">
      <c r="A896" s="41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</row>
    <row r="897">
      <c r="A897" s="41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</row>
    <row r="898">
      <c r="A898" s="41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</row>
    <row r="899">
      <c r="A899" s="41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</row>
    <row r="900">
      <c r="A900" s="41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</row>
    <row r="901">
      <c r="A901" s="41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</row>
    <row r="902">
      <c r="A902" s="41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</row>
    <row r="903">
      <c r="A903" s="41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</row>
    <row r="904">
      <c r="A904" s="41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</row>
    <row r="905">
      <c r="A905" s="41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</row>
    <row r="906">
      <c r="A906" s="41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</row>
    <row r="907">
      <c r="A907" s="41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</row>
    <row r="908">
      <c r="A908" s="41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</row>
    <row r="909">
      <c r="A909" s="41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</row>
    <row r="910">
      <c r="A910" s="41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</row>
    <row r="911">
      <c r="A911" s="41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</row>
    <row r="912">
      <c r="A912" s="41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</row>
    <row r="913">
      <c r="A913" s="41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</row>
    <row r="914">
      <c r="A914" s="41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</row>
    <row r="915">
      <c r="A915" s="41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</row>
    <row r="916">
      <c r="A916" s="41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</row>
    <row r="917">
      <c r="A917" s="41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</row>
    <row r="918">
      <c r="A918" s="41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</row>
    <row r="919">
      <c r="A919" s="41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</row>
    <row r="920">
      <c r="A920" s="41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</row>
    <row r="921">
      <c r="A921" s="41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</row>
    <row r="922">
      <c r="A922" s="41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</row>
    <row r="923">
      <c r="A923" s="41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</row>
    <row r="924">
      <c r="A924" s="41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</row>
    <row r="925">
      <c r="A925" s="41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</row>
    <row r="926">
      <c r="A926" s="41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</row>
    <row r="927">
      <c r="A927" s="41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</row>
    <row r="928">
      <c r="A928" s="41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</row>
    <row r="929">
      <c r="A929" s="41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</row>
    <row r="930">
      <c r="A930" s="41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</row>
    <row r="931">
      <c r="A931" s="41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</row>
    <row r="932">
      <c r="A932" s="41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</row>
    <row r="933">
      <c r="A933" s="41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</row>
    <row r="934">
      <c r="A934" s="41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</row>
    <row r="935">
      <c r="A935" s="41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</row>
    <row r="936">
      <c r="A936" s="41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</row>
    <row r="937">
      <c r="A937" s="41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</row>
    <row r="938">
      <c r="A938" s="41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</row>
    <row r="939">
      <c r="A939" s="41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</row>
    <row r="940">
      <c r="A940" s="41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</row>
    <row r="941">
      <c r="A941" s="41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</row>
    <row r="942">
      <c r="A942" s="41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</row>
    <row r="943">
      <c r="A943" s="41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</row>
    <row r="944">
      <c r="A944" s="41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</row>
    <row r="945">
      <c r="A945" s="41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</row>
    <row r="946">
      <c r="A946" s="41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</row>
    <row r="947">
      <c r="A947" s="41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</row>
    <row r="948">
      <c r="A948" s="41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</row>
    <row r="949">
      <c r="A949" s="41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</row>
    <row r="950">
      <c r="A950" s="41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</row>
    <row r="951">
      <c r="A951" s="41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</row>
    <row r="952">
      <c r="A952" s="41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</row>
    <row r="953">
      <c r="A953" s="41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</row>
    <row r="954">
      <c r="A954" s="41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</row>
    <row r="955">
      <c r="A955" s="41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</row>
    <row r="956">
      <c r="A956" s="41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</row>
    <row r="957">
      <c r="A957" s="41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</row>
    <row r="958">
      <c r="A958" s="41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</row>
    <row r="959">
      <c r="A959" s="41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</row>
    <row r="960">
      <c r="A960" s="41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</row>
    <row r="961">
      <c r="A961" s="41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</row>
    <row r="962">
      <c r="A962" s="41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</row>
    <row r="963">
      <c r="A963" s="41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</row>
    <row r="964">
      <c r="A964" s="41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</row>
    <row r="965">
      <c r="A965" s="41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</row>
    <row r="966">
      <c r="A966" s="41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</row>
    <row r="967">
      <c r="A967" s="41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</row>
    <row r="968">
      <c r="A968" s="41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</row>
    <row r="969">
      <c r="A969" s="41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</row>
    <row r="970">
      <c r="A970" s="41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</row>
    <row r="971">
      <c r="A971" s="41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</row>
    <row r="972">
      <c r="A972" s="41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</row>
    <row r="973">
      <c r="A973" s="41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</row>
    <row r="974">
      <c r="A974" s="41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</row>
    <row r="975">
      <c r="A975" s="41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</row>
    <row r="976">
      <c r="A976" s="41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</row>
    <row r="977">
      <c r="A977" s="41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</row>
    <row r="978">
      <c r="A978" s="41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</row>
    <row r="979">
      <c r="A979" s="41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</row>
    <row r="980">
      <c r="A980" s="41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</row>
    <row r="981">
      <c r="A981" s="41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</row>
    <row r="982">
      <c r="A982" s="41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</row>
    <row r="983">
      <c r="A983" s="41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</row>
    <row r="984">
      <c r="A984" s="41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</row>
    <row r="985">
      <c r="A985" s="41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</row>
    <row r="986">
      <c r="A986" s="41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</row>
    <row r="987">
      <c r="A987" s="41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</row>
    <row r="988">
      <c r="A988" s="41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</row>
    <row r="989">
      <c r="A989" s="41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</row>
    <row r="990">
      <c r="A990" s="41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</row>
    <row r="991">
      <c r="A991" s="41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</row>
    <row r="992">
      <c r="A992" s="41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</row>
    <row r="993">
      <c r="A993" s="41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</row>
    <row r="994">
      <c r="A994" s="41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</row>
    <row r="995">
      <c r="A995" s="41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</row>
    <row r="996">
      <c r="A996" s="41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</row>
    <row r="997">
      <c r="A997" s="41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</row>
    <row r="998">
      <c r="A998" s="41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</row>
    <row r="999">
      <c r="A999" s="41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</row>
    <row r="1000">
      <c r="A1000" s="41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39" t="s">
        <v>49</v>
      </c>
      <c r="B1" s="42">
        <f>SUM('2024 Yield'!B80:B999)</f>
        <v>3899</v>
      </c>
    </row>
    <row r="2">
      <c r="A2" s="39" t="s">
        <v>53</v>
      </c>
      <c r="B2" s="42">
        <f>SUM('2024 Yield'!C80:C999)</f>
        <v>52</v>
      </c>
    </row>
    <row r="3">
      <c r="A3" s="39" t="s">
        <v>47</v>
      </c>
      <c r="B3" s="42">
        <f>SUM('2024 Yield'!D80:D999)</f>
        <v>627</v>
      </c>
    </row>
    <row r="4">
      <c r="A4" s="39" t="s">
        <v>54</v>
      </c>
      <c r="B4" s="42">
        <f>SUM('2024 Yield'!E80:E999)</f>
        <v>295</v>
      </c>
    </row>
    <row r="5">
      <c r="A5" s="39" t="s">
        <v>31</v>
      </c>
      <c r="B5" s="42">
        <f>SUM('2024 Yield'!F80:F999)</f>
        <v>15381</v>
      </c>
    </row>
    <row r="6">
      <c r="A6" s="39" t="s">
        <v>7</v>
      </c>
      <c r="B6" s="42">
        <f>SUM('2024 Yield'!G80:G999)</f>
        <v>1085</v>
      </c>
      <c r="E6" s="25" t="s">
        <v>46</v>
      </c>
      <c r="F6" s="42">
        <f>SUM(B:B)</f>
        <v>91418</v>
      </c>
    </row>
    <row r="7">
      <c r="A7" s="39" t="s">
        <v>55</v>
      </c>
      <c r="B7" s="42">
        <f>SUM('2024 Yield'!H80:H999)</f>
        <v>561</v>
      </c>
      <c r="E7" s="25" t="s">
        <v>50</v>
      </c>
      <c r="F7" s="13">
        <f>F6/453.6</f>
        <v>201.5388007</v>
      </c>
    </row>
    <row r="8">
      <c r="A8" s="39" t="s">
        <v>56</v>
      </c>
      <c r="B8" s="42">
        <f>SUM('2024 Yield'!I80:I999)</f>
        <v>774</v>
      </c>
    </row>
    <row r="9">
      <c r="A9" s="39" t="s">
        <v>57</v>
      </c>
      <c r="B9" s="42">
        <f>SUM('2024 Yield'!J80:J999)</f>
        <v>2396</v>
      </c>
    </row>
    <row r="10">
      <c r="A10" s="39" t="s">
        <v>58</v>
      </c>
      <c r="B10" s="42">
        <f>SUM('2024 Yield'!K80:K999)</f>
        <v>3061</v>
      </c>
    </row>
    <row r="11">
      <c r="A11" s="39" t="s">
        <v>59</v>
      </c>
      <c r="B11" s="42">
        <f>SUM('2024 Yield'!L80:L999)</f>
        <v>1011</v>
      </c>
    </row>
    <row r="12">
      <c r="A12" s="39" t="s">
        <v>19</v>
      </c>
      <c r="B12" s="42">
        <f>SUM('2024 Yield'!M2:M80)</f>
        <v>10167</v>
      </c>
    </row>
    <row r="13">
      <c r="A13" s="39" t="s">
        <v>60</v>
      </c>
      <c r="B13" s="42">
        <f>SUM('2024 Yield'!N80:N999)</f>
        <v>3019</v>
      </c>
    </row>
    <row r="14">
      <c r="A14" s="39" t="s">
        <v>61</v>
      </c>
      <c r="B14" s="42">
        <f>SUM('2024 Yield'!O80:O999)</f>
        <v>1810</v>
      </c>
    </row>
    <row r="15">
      <c r="A15" s="39" t="s">
        <v>14</v>
      </c>
      <c r="B15" s="42">
        <f>SUM('2024 Yield'!P80:P999)</f>
        <v>22981</v>
      </c>
    </row>
    <row r="16">
      <c r="A16" s="39" t="s">
        <v>62</v>
      </c>
      <c r="B16" s="42">
        <f>SUM('2024 Yield'!Q80:Q999)</f>
        <v>2079</v>
      </c>
    </row>
    <row r="17">
      <c r="A17" s="39" t="s">
        <v>63</v>
      </c>
      <c r="B17" s="42">
        <f>SUM('2024 Yield'!R80:R999)</f>
        <v>550</v>
      </c>
    </row>
    <row r="18">
      <c r="A18" s="39" t="s">
        <v>12</v>
      </c>
      <c r="B18" s="42">
        <f>SUM('2024 Yield'!S80:S999)</f>
        <v>10540</v>
      </c>
    </row>
    <row r="19">
      <c r="A19" s="39" t="s">
        <v>64</v>
      </c>
      <c r="B19" s="42">
        <f>SUM('2024 Yield'!T80:T999)</f>
        <v>4913</v>
      </c>
    </row>
    <row r="20">
      <c r="A20" s="39" t="s">
        <v>52</v>
      </c>
      <c r="B20" s="42">
        <f>SUM('2024 Yield'!U80:U999)</f>
        <v>133</v>
      </c>
    </row>
    <row r="21">
      <c r="A21" s="39" t="s">
        <v>65</v>
      </c>
      <c r="B21" s="42">
        <f>SUM('2024 Yield'!V80:V999)</f>
        <v>5504</v>
      </c>
    </row>
    <row r="22">
      <c r="A22" s="39" t="s">
        <v>23</v>
      </c>
      <c r="B22" s="42">
        <f>SUM('2024 Yield'!W80:W999)</f>
        <v>462</v>
      </c>
    </row>
    <row r="23">
      <c r="A23" s="39" t="s">
        <v>30</v>
      </c>
      <c r="B23" s="43">
        <f>SUM('2024 Yield'!X80:X999)</f>
        <v>74</v>
      </c>
    </row>
    <row r="24">
      <c r="A24" s="39" t="s">
        <v>66</v>
      </c>
      <c r="B24" s="42">
        <f>SUM('2024 Yield'!Y80:Y999)</f>
        <v>44</v>
      </c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38" t="s">
        <v>3</v>
      </c>
    </row>
    <row r="32">
      <c r="A32" s="39" t="s">
        <v>49</v>
      </c>
    </row>
    <row r="33">
      <c r="A33" s="39" t="s">
        <v>53</v>
      </c>
    </row>
    <row r="34">
      <c r="A34" s="39" t="s">
        <v>47</v>
      </c>
    </row>
    <row r="35">
      <c r="A35" s="39" t="s">
        <v>54</v>
      </c>
    </row>
    <row r="36">
      <c r="A36" s="39" t="s">
        <v>31</v>
      </c>
    </row>
    <row r="37">
      <c r="A37" s="39" t="s">
        <v>7</v>
      </c>
    </row>
    <row r="38">
      <c r="A38" s="39" t="s">
        <v>55</v>
      </c>
    </row>
    <row r="39">
      <c r="A39" s="39" t="s">
        <v>56</v>
      </c>
    </row>
    <row r="40">
      <c r="A40" s="39" t="s">
        <v>57</v>
      </c>
    </row>
    <row r="41">
      <c r="A41" s="39" t="s">
        <v>58</v>
      </c>
    </row>
    <row r="42">
      <c r="A42" s="39" t="s">
        <v>59</v>
      </c>
    </row>
    <row r="43">
      <c r="A43" s="39" t="s">
        <v>19</v>
      </c>
    </row>
    <row r="44">
      <c r="A44" s="39" t="s">
        <v>60</v>
      </c>
    </row>
    <row r="45">
      <c r="A45" s="39" t="s">
        <v>61</v>
      </c>
    </row>
    <row r="46">
      <c r="A46" s="39" t="s">
        <v>14</v>
      </c>
    </row>
    <row r="47">
      <c r="A47" s="39" t="s">
        <v>62</v>
      </c>
    </row>
    <row r="48">
      <c r="A48" s="39" t="s">
        <v>63</v>
      </c>
    </row>
    <row r="49">
      <c r="A49" s="39" t="s">
        <v>12</v>
      </c>
    </row>
    <row r="50">
      <c r="A50" s="39" t="s">
        <v>64</v>
      </c>
    </row>
    <row r="51">
      <c r="A51" s="39" t="s">
        <v>52</v>
      </c>
    </row>
    <row r="52">
      <c r="A52" s="39" t="s">
        <v>65</v>
      </c>
    </row>
    <row r="53">
      <c r="A53" s="39" t="s">
        <v>23</v>
      </c>
    </row>
    <row r="54">
      <c r="A54" s="39" t="s">
        <v>30</v>
      </c>
    </row>
    <row r="55">
      <c r="A55" s="39" t="s">
        <v>66</v>
      </c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38" t="s">
        <v>3</v>
      </c>
    </row>
    <row r="63">
      <c r="A63" s="39" t="s">
        <v>49</v>
      </c>
    </row>
    <row r="64">
      <c r="A64" s="39" t="s">
        <v>53</v>
      </c>
    </row>
    <row r="65">
      <c r="A65" s="39" t="s">
        <v>47</v>
      </c>
    </row>
    <row r="66">
      <c r="A66" s="39" t="s">
        <v>54</v>
      </c>
    </row>
    <row r="67">
      <c r="A67" s="39" t="s">
        <v>31</v>
      </c>
    </row>
    <row r="68">
      <c r="A68" s="39" t="s">
        <v>7</v>
      </c>
    </row>
    <row r="69">
      <c r="A69" s="39" t="s">
        <v>55</v>
      </c>
    </row>
    <row r="70">
      <c r="A70" s="39" t="s">
        <v>56</v>
      </c>
    </row>
    <row r="71">
      <c r="A71" s="39" t="s">
        <v>57</v>
      </c>
    </row>
    <row r="72">
      <c r="A72" s="39" t="s">
        <v>58</v>
      </c>
    </row>
    <row r="73">
      <c r="A73" s="39" t="s">
        <v>59</v>
      </c>
    </row>
    <row r="74">
      <c r="A74" s="39" t="s">
        <v>19</v>
      </c>
    </row>
    <row r="75">
      <c r="A75" s="39" t="s">
        <v>60</v>
      </c>
    </row>
    <row r="76">
      <c r="A76" s="39" t="s">
        <v>61</v>
      </c>
    </row>
    <row r="77">
      <c r="A77" s="39" t="s">
        <v>14</v>
      </c>
    </row>
    <row r="78">
      <c r="A78" s="39" t="s">
        <v>62</v>
      </c>
    </row>
    <row r="79">
      <c r="A79" s="39" t="s">
        <v>63</v>
      </c>
    </row>
    <row r="80">
      <c r="A80" s="39" t="s">
        <v>12</v>
      </c>
    </row>
    <row r="81">
      <c r="A81" s="39" t="s">
        <v>64</v>
      </c>
    </row>
    <row r="82">
      <c r="A82" s="39" t="s">
        <v>52</v>
      </c>
    </row>
    <row r="83">
      <c r="A83" s="39" t="s">
        <v>65</v>
      </c>
    </row>
    <row r="84">
      <c r="A84" s="39" t="s">
        <v>23</v>
      </c>
    </row>
    <row r="85">
      <c r="A85" s="39" t="s">
        <v>30</v>
      </c>
    </row>
    <row r="86">
      <c r="A86" s="39" t="s">
        <v>66</v>
      </c>
    </row>
    <row r="87">
      <c r="A87" s="40"/>
    </row>
    <row r="88">
      <c r="A88" s="40"/>
    </row>
    <row r="89">
      <c r="A89" s="40"/>
    </row>
    <row r="90">
      <c r="A90" s="40"/>
    </row>
    <row r="91">
      <c r="A91" s="40"/>
    </row>
    <row r="92">
      <c r="A92" s="40"/>
    </row>
    <row r="93">
      <c r="A93" s="38" t="s">
        <v>3</v>
      </c>
    </row>
    <row r="94">
      <c r="A94" s="39" t="s">
        <v>49</v>
      </c>
    </row>
    <row r="95">
      <c r="A95" s="39" t="s">
        <v>53</v>
      </c>
    </row>
    <row r="96">
      <c r="A96" s="39" t="s">
        <v>47</v>
      </c>
    </row>
    <row r="97">
      <c r="A97" s="39" t="s">
        <v>54</v>
      </c>
    </row>
    <row r="98">
      <c r="A98" s="39" t="s">
        <v>31</v>
      </c>
    </row>
    <row r="99">
      <c r="A99" s="39" t="s">
        <v>7</v>
      </c>
    </row>
    <row r="100">
      <c r="A100" s="39" t="s">
        <v>55</v>
      </c>
    </row>
    <row r="101">
      <c r="A101" s="39" t="s">
        <v>56</v>
      </c>
    </row>
    <row r="102">
      <c r="A102" s="39" t="s">
        <v>57</v>
      </c>
    </row>
    <row r="103">
      <c r="A103" s="39" t="s">
        <v>58</v>
      </c>
    </row>
    <row r="104">
      <c r="A104" s="39" t="s">
        <v>59</v>
      </c>
    </row>
    <row r="105">
      <c r="A105" s="39" t="s">
        <v>19</v>
      </c>
    </row>
    <row r="106">
      <c r="A106" s="39" t="s">
        <v>60</v>
      </c>
    </row>
    <row r="107">
      <c r="A107" s="39" t="s">
        <v>61</v>
      </c>
    </row>
    <row r="108">
      <c r="A108" s="39" t="s">
        <v>14</v>
      </c>
    </row>
    <row r="109">
      <c r="A109" s="39" t="s">
        <v>62</v>
      </c>
    </row>
    <row r="110">
      <c r="A110" s="39" t="s">
        <v>63</v>
      </c>
    </row>
    <row r="111">
      <c r="A111" s="39" t="s">
        <v>12</v>
      </c>
    </row>
    <row r="112">
      <c r="A112" s="39" t="s">
        <v>64</v>
      </c>
    </row>
    <row r="113">
      <c r="A113" s="39" t="s">
        <v>52</v>
      </c>
    </row>
    <row r="114">
      <c r="A114" s="39" t="s">
        <v>65</v>
      </c>
    </row>
    <row r="115">
      <c r="A115" s="39" t="s">
        <v>23</v>
      </c>
    </row>
    <row r="116">
      <c r="A116" s="39" t="s">
        <v>30</v>
      </c>
    </row>
    <row r="117">
      <c r="A117" s="39" t="s">
        <v>66</v>
      </c>
    </row>
    <row r="118">
      <c r="A118" s="40"/>
    </row>
    <row r="119">
      <c r="A119" s="40"/>
    </row>
    <row r="120">
      <c r="A120" s="40"/>
    </row>
    <row r="121">
      <c r="A121" s="40"/>
    </row>
    <row r="122">
      <c r="A122" s="40"/>
    </row>
    <row r="123">
      <c r="A123" s="40"/>
    </row>
    <row r="124">
      <c r="A124" s="38" t="s">
        <v>3</v>
      </c>
    </row>
    <row r="125">
      <c r="A125" s="39" t="s">
        <v>49</v>
      </c>
    </row>
    <row r="126">
      <c r="A126" s="39" t="s">
        <v>53</v>
      </c>
    </row>
    <row r="127">
      <c r="A127" s="39" t="s">
        <v>47</v>
      </c>
    </row>
    <row r="128">
      <c r="A128" s="39" t="s">
        <v>54</v>
      </c>
    </row>
    <row r="129">
      <c r="A129" s="39" t="s">
        <v>31</v>
      </c>
    </row>
    <row r="130">
      <c r="A130" s="39" t="s">
        <v>7</v>
      </c>
    </row>
    <row r="131">
      <c r="A131" s="39" t="s">
        <v>55</v>
      </c>
    </row>
    <row r="132">
      <c r="A132" s="39" t="s">
        <v>56</v>
      </c>
    </row>
    <row r="133">
      <c r="A133" s="39" t="s">
        <v>57</v>
      </c>
    </row>
    <row r="134">
      <c r="A134" s="39" t="s">
        <v>58</v>
      </c>
    </row>
    <row r="135">
      <c r="A135" s="39" t="s">
        <v>59</v>
      </c>
    </row>
    <row r="136">
      <c r="A136" s="39" t="s">
        <v>19</v>
      </c>
    </row>
    <row r="137">
      <c r="A137" s="39" t="s">
        <v>60</v>
      </c>
    </row>
    <row r="138">
      <c r="A138" s="39" t="s">
        <v>61</v>
      </c>
    </row>
    <row r="139">
      <c r="A139" s="39" t="s">
        <v>14</v>
      </c>
    </row>
    <row r="140">
      <c r="A140" s="39" t="s">
        <v>62</v>
      </c>
    </row>
    <row r="141">
      <c r="A141" s="39" t="s">
        <v>63</v>
      </c>
    </row>
    <row r="142">
      <c r="A142" s="39" t="s">
        <v>12</v>
      </c>
    </row>
    <row r="143">
      <c r="A143" s="39" t="s">
        <v>64</v>
      </c>
    </row>
    <row r="144">
      <c r="A144" s="39" t="s">
        <v>52</v>
      </c>
    </row>
    <row r="145">
      <c r="A145" s="39" t="s">
        <v>65</v>
      </c>
    </row>
    <row r="146">
      <c r="A146" s="39" t="s">
        <v>23</v>
      </c>
    </row>
    <row r="147">
      <c r="A147" s="39" t="s">
        <v>30</v>
      </c>
    </row>
    <row r="148">
      <c r="A148" s="39" t="s">
        <v>66</v>
      </c>
    </row>
    <row r="149">
      <c r="A149" s="40"/>
    </row>
    <row r="150">
      <c r="A150" s="40"/>
    </row>
    <row r="151">
      <c r="A151" s="40"/>
    </row>
    <row r="152">
      <c r="A152" s="40"/>
    </row>
    <row r="153">
      <c r="A153" s="40"/>
    </row>
    <row r="154">
      <c r="A154" s="40"/>
    </row>
    <row r="155">
      <c r="A155" s="38" t="s">
        <v>3</v>
      </c>
    </row>
    <row r="156">
      <c r="A156" s="39" t="s">
        <v>49</v>
      </c>
    </row>
    <row r="157">
      <c r="A157" s="39" t="s">
        <v>53</v>
      </c>
    </row>
    <row r="158">
      <c r="A158" s="39" t="s">
        <v>47</v>
      </c>
    </row>
    <row r="159">
      <c r="A159" s="39" t="s">
        <v>54</v>
      </c>
    </row>
    <row r="160">
      <c r="A160" s="39" t="s">
        <v>31</v>
      </c>
    </row>
    <row r="161">
      <c r="A161" s="39" t="s">
        <v>7</v>
      </c>
    </row>
    <row r="162">
      <c r="A162" s="39" t="s">
        <v>55</v>
      </c>
    </row>
    <row r="163">
      <c r="A163" s="39" t="s">
        <v>56</v>
      </c>
    </row>
    <row r="164">
      <c r="A164" s="39" t="s">
        <v>57</v>
      </c>
    </row>
    <row r="165">
      <c r="A165" s="39" t="s">
        <v>58</v>
      </c>
    </row>
    <row r="166">
      <c r="A166" s="39" t="s">
        <v>59</v>
      </c>
    </row>
    <row r="167">
      <c r="A167" s="39" t="s">
        <v>19</v>
      </c>
    </row>
    <row r="168">
      <c r="A168" s="39" t="s">
        <v>60</v>
      </c>
    </row>
    <row r="169">
      <c r="A169" s="39" t="s">
        <v>61</v>
      </c>
    </row>
    <row r="170">
      <c r="A170" s="39" t="s">
        <v>14</v>
      </c>
    </row>
    <row r="171">
      <c r="A171" s="39" t="s">
        <v>62</v>
      </c>
    </row>
    <row r="172">
      <c r="A172" s="39" t="s">
        <v>63</v>
      </c>
    </row>
    <row r="173">
      <c r="A173" s="39" t="s">
        <v>12</v>
      </c>
    </row>
    <row r="174">
      <c r="A174" s="39" t="s">
        <v>64</v>
      </c>
    </row>
    <row r="175">
      <c r="A175" s="39" t="s">
        <v>52</v>
      </c>
    </row>
    <row r="176">
      <c r="A176" s="39" t="s">
        <v>65</v>
      </c>
    </row>
    <row r="177">
      <c r="A177" s="39" t="s">
        <v>23</v>
      </c>
    </row>
    <row r="178">
      <c r="A178" s="39" t="s">
        <v>30</v>
      </c>
    </row>
    <row r="179">
      <c r="A179" s="39" t="s">
        <v>66</v>
      </c>
    </row>
    <row r="180">
      <c r="A180" s="40"/>
    </row>
    <row r="181">
      <c r="A181" s="40"/>
    </row>
    <row r="182">
      <c r="A182" s="40"/>
    </row>
    <row r="183">
      <c r="A183" s="40"/>
    </row>
    <row r="184">
      <c r="A184" s="40"/>
    </row>
    <row r="185">
      <c r="A185" s="40"/>
    </row>
    <row r="186">
      <c r="A186" s="38" t="s">
        <v>3</v>
      </c>
    </row>
    <row r="187">
      <c r="A187" s="39" t="s">
        <v>49</v>
      </c>
    </row>
    <row r="188">
      <c r="A188" s="39" t="s">
        <v>53</v>
      </c>
    </row>
    <row r="189">
      <c r="A189" s="39" t="s">
        <v>47</v>
      </c>
    </row>
    <row r="190">
      <c r="A190" s="39" t="s">
        <v>54</v>
      </c>
    </row>
    <row r="191">
      <c r="A191" s="39" t="s">
        <v>31</v>
      </c>
    </row>
    <row r="192">
      <c r="A192" s="39" t="s">
        <v>7</v>
      </c>
    </row>
    <row r="193">
      <c r="A193" s="39" t="s">
        <v>55</v>
      </c>
    </row>
    <row r="194">
      <c r="A194" s="39" t="s">
        <v>56</v>
      </c>
    </row>
    <row r="195">
      <c r="A195" s="39" t="s">
        <v>57</v>
      </c>
    </row>
    <row r="196">
      <c r="A196" s="39" t="s">
        <v>58</v>
      </c>
    </row>
    <row r="197">
      <c r="A197" s="39" t="s">
        <v>59</v>
      </c>
    </row>
    <row r="198">
      <c r="A198" s="39" t="s">
        <v>19</v>
      </c>
    </row>
    <row r="199">
      <c r="A199" s="39" t="s">
        <v>60</v>
      </c>
    </row>
    <row r="200">
      <c r="A200" s="39" t="s">
        <v>61</v>
      </c>
    </row>
    <row r="201">
      <c r="A201" s="39" t="s">
        <v>14</v>
      </c>
    </row>
    <row r="202">
      <c r="A202" s="39" t="s">
        <v>62</v>
      </c>
    </row>
    <row r="203">
      <c r="A203" s="39" t="s">
        <v>63</v>
      </c>
    </row>
    <row r="204">
      <c r="A204" s="39" t="s">
        <v>12</v>
      </c>
    </row>
    <row r="205">
      <c r="A205" s="39" t="s">
        <v>64</v>
      </c>
    </row>
    <row r="206">
      <c r="A206" s="39" t="s">
        <v>52</v>
      </c>
    </row>
    <row r="207">
      <c r="A207" s="39" t="s">
        <v>65</v>
      </c>
    </row>
    <row r="208">
      <c r="A208" s="39" t="s">
        <v>23</v>
      </c>
    </row>
    <row r="209">
      <c r="A209" s="39" t="s">
        <v>30</v>
      </c>
    </row>
    <row r="210">
      <c r="A210" s="39" t="s">
        <v>66</v>
      </c>
    </row>
    <row r="211">
      <c r="A211" s="40"/>
    </row>
    <row r="212">
      <c r="A212" s="40"/>
    </row>
    <row r="213">
      <c r="A213" s="40"/>
    </row>
    <row r="214">
      <c r="A214" s="40"/>
    </row>
    <row r="215">
      <c r="A215" s="40"/>
    </row>
    <row r="216">
      <c r="A216" s="40"/>
    </row>
    <row r="217">
      <c r="A217" s="38" t="s">
        <v>3</v>
      </c>
    </row>
    <row r="218">
      <c r="A218" s="39" t="s">
        <v>49</v>
      </c>
    </row>
    <row r="219">
      <c r="A219" s="39" t="s">
        <v>53</v>
      </c>
    </row>
    <row r="220">
      <c r="A220" s="39" t="s">
        <v>47</v>
      </c>
    </row>
    <row r="221">
      <c r="A221" s="39" t="s">
        <v>54</v>
      </c>
    </row>
    <row r="222">
      <c r="A222" s="39" t="s">
        <v>31</v>
      </c>
    </row>
    <row r="223">
      <c r="A223" s="39" t="s">
        <v>7</v>
      </c>
    </row>
    <row r="224">
      <c r="A224" s="39" t="s">
        <v>55</v>
      </c>
    </row>
    <row r="225">
      <c r="A225" s="39" t="s">
        <v>56</v>
      </c>
    </row>
    <row r="226">
      <c r="A226" s="39" t="s">
        <v>57</v>
      </c>
    </row>
    <row r="227">
      <c r="A227" s="39" t="s">
        <v>58</v>
      </c>
    </row>
    <row r="228">
      <c r="A228" s="39" t="s">
        <v>59</v>
      </c>
    </row>
    <row r="229">
      <c r="A229" s="39" t="s">
        <v>19</v>
      </c>
    </row>
    <row r="230">
      <c r="A230" s="39" t="s">
        <v>60</v>
      </c>
    </row>
    <row r="231">
      <c r="A231" s="39" t="s">
        <v>61</v>
      </c>
    </row>
    <row r="232">
      <c r="A232" s="39" t="s">
        <v>14</v>
      </c>
    </row>
    <row r="233">
      <c r="A233" s="39" t="s">
        <v>62</v>
      </c>
    </row>
    <row r="234">
      <c r="A234" s="39" t="s">
        <v>63</v>
      </c>
    </row>
    <row r="235">
      <c r="A235" s="39" t="s">
        <v>12</v>
      </c>
    </row>
    <row r="236">
      <c r="A236" s="39" t="s">
        <v>64</v>
      </c>
    </row>
    <row r="237">
      <c r="A237" s="39" t="s">
        <v>52</v>
      </c>
    </row>
    <row r="238">
      <c r="A238" s="39" t="s">
        <v>65</v>
      </c>
    </row>
    <row r="239">
      <c r="A239" s="39" t="s">
        <v>23</v>
      </c>
    </row>
    <row r="240">
      <c r="A240" s="39" t="s">
        <v>30</v>
      </c>
    </row>
    <row r="241">
      <c r="A241" s="39" t="s">
        <v>66</v>
      </c>
    </row>
    <row r="242">
      <c r="A242" s="40"/>
    </row>
    <row r="243">
      <c r="A243" s="40"/>
    </row>
    <row r="244">
      <c r="A244" s="40"/>
    </row>
    <row r="245">
      <c r="A245" s="40"/>
    </row>
    <row r="246">
      <c r="A246" s="40"/>
    </row>
    <row r="247">
      <c r="A247" s="40"/>
    </row>
    <row r="248">
      <c r="A248" s="38" t="s">
        <v>3</v>
      </c>
    </row>
    <row r="249">
      <c r="A249" s="39" t="s">
        <v>49</v>
      </c>
    </row>
    <row r="250">
      <c r="A250" s="39" t="s">
        <v>53</v>
      </c>
    </row>
    <row r="251">
      <c r="A251" s="39" t="s">
        <v>47</v>
      </c>
    </row>
    <row r="252">
      <c r="A252" s="39" t="s">
        <v>54</v>
      </c>
    </row>
    <row r="253">
      <c r="A253" s="39" t="s">
        <v>31</v>
      </c>
    </row>
    <row r="254">
      <c r="A254" s="39" t="s">
        <v>7</v>
      </c>
    </row>
    <row r="255">
      <c r="A255" s="39" t="s">
        <v>55</v>
      </c>
    </row>
    <row r="256">
      <c r="A256" s="39" t="s">
        <v>56</v>
      </c>
    </row>
    <row r="257">
      <c r="A257" s="39" t="s">
        <v>57</v>
      </c>
    </row>
    <row r="258">
      <c r="A258" s="39" t="s">
        <v>58</v>
      </c>
    </row>
    <row r="259">
      <c r="A259" s="39" t="s">
        <v>59</v>
      </c>
    </row>
    <row r="260">
      <c r="A260" s="39" t="s">
        <v>19</v>
      </c>
    </row>
    <row r="261">
      <c r="A261" s="39" t="s">
        <v>60</v>
      </c>
    </row>
    <row r="262">
      <c r="A262" s="39" t="s">
        <v>61</v>
      </c>
    </row>
    <row r="263">
      <c r="A263" s="39" t="s">
        <v>14</v>
      </c>
    </row>
    <row r="264">
      <c r="A264" s="39" t="s">
        <v>62</v>
      </c>
    </row>
    <row r="265">
      <c r="A265" s="39" t="s">
        <v>63</v>
      </c>
    </row>
    <row r="266">
      <c r="A266" s="39" t="s">
        <v>12</v>
      </c>
    </row>
    <row r="267">
      <c r="A267" s="39" t="s">
        <v>64</v>
      </c>
    </row>
    <row r="268">
      <c r="A268" s="39" t="s">
        <v>52</v>
      </c>
    </row>
    <row r="269">
      <c r="A269" s="39" t="s">
        <v>65</v>
      </c>
    </row>
    <row r="270">
      <c r="A270" s="39" t="s">
        <v>23</v>
      </c>
    </row>
    <row r="271">
      <c r="A271" s="39" t="s">
        <v>30</v>
      </c>
    </row>
    <row r="272">
      <c r="A272" s="39" t="s">
        <v>66</v>
      </c>
    </row>
    <row r="273">
      <c r="A273" s="40"/>
    </row>
    <row r="274">
      <c r="A274" s="40"/>
    </row>
    <row r="275">
      <c r="A275" s="40"/>
    </row>
    <row r="276">
      <c r="A276" s="40"/>
    </row>
    <row r="277">
      <c r="A277" s="40"/>
    </row>
    <row r="278">
      <c r="A278" s="40"/>
    </row>
    <row r="279">
      <c r="A279" s="38" t="s">
        <v>3</v>
      </c>
    </row>
    <row r="280">
      <c r="A280" s="39" t="s">
        <v>49</v>
      </c>
    </row>
    <row r="281">
      <c r="A281" s="39" t="s">
        <v>53</v>
      </c>
    </row>
    <row r="282">
      <c r="A282" s="39" t="s">
        <v>47</v>
      </c>
    </row>
    <row r="283">
      <c r="A283" s="39" t="s">
        <v>54</v>
      </c>
    </row>
    <row r="284">
      <c r="A284" s="39" t="s">
        <v>31</v>
      </c>
    </row>
    <row r="285">
      <c r="A285" s="39" t="s">
        <v>7</v>
      </c>
    </row>
    <row r="286">
      <c r="A286" s="39" t="s">
        <v>55</v>
      </c>
    </row>
    <row r="287">
      <c r="A287" s="39" t="s">
        <v>56</v>
      </c>
    </row>
    <row r="288">
      <c r="A288" s="39" t="s">
        <v>57</v>
      </c>
    </row>
    <row r="289">
      <c r="A289" s="39" t="s">
        <v>58</v>
      </c>
    </row>
    <row r="290">
      <c r="A290" s="39" t="s">
        <v>59</v>
      </c>
    </row>
    <row r="291">
      <c r="A291" s="39" t="s">
        <v>19</v>
      </c>
    </row>
    <row r="292">
      <c r="A292" s="39" t="s">
        <v>60</v>
      </c>
    </row>
    <row r="293">
      <c r="A293" s="39" t="s">
        <v>61</v>
      </c>
    </row>
    <row r="294">
      <c r="A294" s="39" t="s">
        <v>14</v>
      </c>
    </row>
    <row r="295">
      <c r="A295" s="39" t="s">
        <v>62</v>
      </c>
    </row>
    <row r="296">
      <c r="A296" s="39" t="s">
        <v>63</v>
      </c>
    </row>
    <row r="297">
      <c r="A297" s="39" t="s">
        <v>12</v>
      </c>
    </row>
    <row r="298">
      <c r="A298" s="39" t="s">
        <v>64</v>
      </c>
    </row>
    <row r="299">
      <c r="A299" s="39" t="s">
        <v>52</v>
      </c>
    </row>
    <row r="300">
      <c r="A300" s="39" t="s">
        <v>65</v>
      </c>
    </row>
    <row r="301">
      <c r="A301" s="39" t="s">
        <v>23</v>
      </c>
    </row>
    <row r="302">
      <c r="A302" s="39" t="s">
        <v>30</v>
      </c>
    </row>
    <row r="303">
      <c r="A303" s="39" t="s">
        <v>66</v>
      </c>
    </row>
    <row r="304">
      <c r="A304" s="40"/>
    </row>
    <row r="305">
      <c r="A305" s="40"/>
    </row>
    <row r="306">
      <c r="A306" s="40"/>
    </row>
    <row r="307">
      <c r="A307" s="40"/>
    </row>
    <row r="308">
      <c r="A308" s="40"/>
    </row>
    <row r="309">
      <c r="A309" s="40"/>
    </row>
    <row r="310">
      <c r="A310" s="38" t="s">
        <v>3</v>
      </c>
    </row>
    <row r="311">
      <c r="A311" s="39" t="s">
        <v>49</v>
      </c>
    </row>
    <row r="312">
      <c r="A312" s="39" t="s">
        <v>53</v>
      </c>
    </row>
    <row r="313">
      <c r="A313" s="39" t="s">
        <v>47</v>
      </c>
    </row>
    <row r="314">
      <c r="A314" s="39" t="s">
        <v>54</v>
      </c>
    </row>
    <row r="315">
      <c r="A315" s="39" t="s">
        <v>31</v>
      </c>
    </row>
    <row r="316">
      <c r="A316" s="39" t="s">
        <v>7</v>
      </c>
    </row>
    <row r="317">
      <c r="A317" s="39" t="s">
        <v>55</v>
      </c>
    </row>
    <row r="318">
      <c r="A318" s="39" t="s">
        <v>56</v>
      </c>
    </row>
    <row r="319">
      <c r="A319" s="39" t="s">
        <v>57</v>
      </c>
    </row>
    <row r="320">
      <c r="A320" s="39" t="s">
        <v>58</v>
      </c>
    </row>
    <row r="321">
      <c r="A321" s="39" t="s">
        <v>59</v>
      </c>
    </row>
    <row r="322">
      <c r="A322" s="39" t="s">
        <v>19</v>
      </c>
    </row>
    <row r="323">
      <c r="A323" s="39" t="s">
        <v>60</v>
      </c>
    </row>
    <row r="324">
      <c r="A324" s="39" t="s">
        <v>61</v>
      </c>
    </row>
    <row r="325">
      <c r="A325" s="39" t="s">
        <v>14</v>
      </c>
    </row>
    <row r="326">
      <c r="A326" s="39" t="s">
        <v>62</v>
      </c>
    </row>
    <row r="327">
      <c r="A327" s="39" t="s">
        <v>63</v>
      </c>
    </row>
    <row r="328">
      <c r="A328" s="39" t="s">
        <v>12</v>
      </c>
    </row>
    <row r="329">
      <c r="A329" s="39" t="s">
        <v>64</v>
      </c>
    </row>
    <row r="330">
      <c r="A330" s="39" t="s">
        <v>52</v>
      </c>
    </row>
    <row r="331">
      <c r="A331" s="39" t="s">
        <v>65</v>
      </c>
    </row>
    <row r="332">
      <c r="A332" s="39" t="s">
        <v>23</v>
      </c>
    </row>
    <row r="333">
      <c r="A333" s="39" t="s">
        <v>30</v>
      </c>
    </row>
    <row r="334">
      <c r="A334" s="39" t="s">
        <v>66</v>
      </c>
    </row>
    <row r="335">
      <c r="A335" s="40"/>
    </row>
    <row r="336">
      <c r="A336" s="40"/>
    </row>
    <row r="337">
      <c r="A337" s="40"/>
    </row>
    <row r="338">
      <c r="A338" s="40"/>
    </row>
    <row r="339">
      <c r="A339" s="40"/>
    </row>
    <row r="340">
      <c r="A340" s="40"/>
    </row>
    <row r="341">
      <c r="A341" s="38" t="s">
        <v>3</v>
      </c>
    </row>
    <row r="342">
      <c r="A342" s="39" t="s">
        <v>49</v>
      </c>
    </row>
    <row r="343">
      <c r="A343" s="39" t="s">
        <v>53</v>
      </c>
    </row>
    <row r="344">
      <c r="A344" s="39" t="s">
        <v>47</v>
      </c>
    </row>
    <row r="345">
      <c r="A345" s="39" t="s">
        <v>54</v>
      </c>
    </row>
    <row r="346">
      <c r="A346" s="39" t="s">
        <v>31</v>
      </c>
    </row>
    <row r="347">
      <c r="A347" s="39" t="s">
        <v>7</v>
      </c>
    </row>
    <row r="348">
      <c r="A348" s="39" t="s">
        <v>55</v>
      </c>
    </row>
    <row r="349">
      <c r="A349" s="39" t="s">
        <v>56</v>
      </c>
    </row>
    <row r="350">
      <c r="A350" s="39" t="s">
        <v>57</v>
      </c>
    </row>
    <row r="351">
      <c r="A351" s="39" t="s">
        <v>58</v>
      </c>
    </row>
    <row r="352">
      <c r="A352" s="39" t="s">
        <v>59</v>
      </c>
    </row>
    <row r="353">
      <c r="A353" s="39" t="s">
        <v>19</v>
      </c>
    </row>
    <row r="354">
      <c r="A354" s="39" t="s">
        <v>60</v>
      </c>
    </row>
    <row r="355">
      <c r="A355" s="39" t="s">
        <v>61</v>
      </c>
    </row>
    <row r="356">
      <c r="A356" s="39" t="s">
        <v>14</v>
      </c>
    </row>
    <row r="357">
      <c r="A357" s="39" t="s">
        <v>62</v>
      </c>
    </row>
    <row r="358">
      <c r="A358" s="39" t="s">
        <v>63</v>
      </c>
    </row>
    <row r="359">
      <c r="A359" s="39" t="s">
        <v>12</v>
      </c>
    </row>
    <row r="360">
      <c r="A360" s="39" t="s">
        <v>64</v>
      </c>
    </row>
    <row r="361">
      <c r="A361" s="39" t="s">
        <v>52</v>
      </c>
    </row>
    <row r="362">
      <c r="A362" s="39" t="s">
        <v>65</v>
      </c>
    </row>
    <row r="363">
      <c r="A363" s="39" t="s">
        <v>23</v>
      </c>
    </row>
    <row r="364">
      <c r="A364" s="39" t="s">
        <v>30</v>
      </c>
    </row>
    <row r="365">
      <c r="A365" s="39" t="s">
        <v>66</v>
      </c>
    </row>
    <row r="366">
      <c r="A366" s="40"/>
    </row>
    <row r="367">
      <c r="A367" s="40"/>
    </row>
    <row r="368">
      <c r="A368" s="40"/>
    </row>
    <row r="369">
      <c r="A369" s="40"/>
    </row>
    <row r="370">
      <c r="A370" s="40"/>
    </row>
    <row r="371">
      <c r="A371" s="40"/>
    </row>
    <row r="372">
      <c r="A372" s="38" t="s">
        <v>3</v>
      </c>
    </row>
    <row r="373">
      <c r="A373" s="39" t="s">
        <v>49</v>
      </c>
    </row>
    <row r="374">
      <c r="A374" s="39" t="s">
        <v>53</v>
      </c>
    </row>
    <row r="375">
      <c r="A375" s="39" t="s">
        <v>47</v>
      </c>
    </row>
    <row r="376">
      <c r="A376" s="39" t="s">
        <v>54</v>
      </c>
    </row>
    <row r="377">
      <c r="A377" s="39" t="s">
        <v>31</v>
      </c>
    </row>
    <row r="378">
      <c r="A378" s="39" t="s">
        <v>7</v>
      </c>
    </row>
    <row r="379">
      <c r="A379" s="39" t="s">
        <v>55</v>
      </c>
    </row>
    <row r="380">
      <c r="A380" s="39" t="s">
        <v>56</v>
      </c>
    </row>
    <row r="381">
      <c r="A381" s="39" t="s">
        <v>57</v>
      </c>
    </row>
    <row r="382">
      <c r="A382" s="39" t="s">
        <v>58</v>
      </c>
    </row>
    <row r="383">
      <c r="A383" s="39" t="s">
        <v>59</v>
      </c>
    </row>
    <row r="384">
      <c r="A384" s="39" t="s">
        <v>19</v>
      </c>
    </row>
    <row r="385">
      <c r="A385" s="39" t="s">
        <v>60</v>
      </c>
    </row>
    <row r="386">
      <c r="A386" s="39" t="s">
        <v>61</v>
      </c>
    </row>
    <row r="387">
      <c r="A387" s="39" t="s">
        <v>14</v>
      </c>
    </row>
    <row r="388">
      <c r="A388" s="39" t="s">
        <v>62</v>
      </c>
    </row>
    <row r="389">
      <c r="A389" s="39" t="s">
        <v>63</v>
      </c>
    </row>
    <row r="390">
      <c r="A390" s="39" t="s">
        <v>12</v>
      </c>
    </row>
    <row r="391">
      <c r="A391" s="39" t="s">
        <v>64</v>
      </c>
    </row>
    <row r="392">
      <c r="A392" s="39" t="s">
        <v>52</v>
      </c>
    </row>
    <row r="393">
      <c r="A393" s="39" t="s">
        <v>65</v>
      </c>
    </row>
    <row r="394">
      <c r="A394" s="39" t="s">
        <v>23</v>
      </c>
    </row>
    <row r="395">
      <c r="A395" s="39" t="s">
        <v>30</v>
      </c>
    </row>
    <row r="396">
      <c r="A396" s="39" t="s">
        <v>66</v>
      </c>
    </row>
    <row r="397">
      <c r="A397" s="40"/>
    </row>
    <row r="398">
      <c r="A398" s="40"/>
    </row>
    <row r="399">
      <c r="A399" s="40"/>
    </row>
    <row r="400">
      <c r="A400" s="40"/>
    </row>
    <row r="401">
      <c r="A401" s="40"/>
    </row>
    <row r="402">
      <c r="A402" s="40"/>
    </row>
    <row r="403">
      <c r="A403" s="38" t="s">
        <v>3</v>
      </c>
    </row>
    <row r="404">
      <c r="A404" s="39" t="s">
        <v>49</v>
      </c>
    </row>
    <row r="405">
      <c r="A405" s="39" t="s">
        <v>53</v>
      </c>
    </row>
    <row r="406">
      <c r="A406" s="39" t="s">
        <v>47</v>
      </c>
    </row>
    <row r="407">
      <c r="A407" s="39" t="s">
        <v>54</v>
      </c>
    </row>
    <row r="408">
      <c r="A408" s="39" t="s">
        <v>31</v>
      </c>
    </row>
    <row r="409">
      <c r="A409" s="39" t="s">
        <v>7</v>
      </c>
    </row>
    <row r="410">
      <c r="A410" s="39" t="s">
        <v>55</v>
      </c>
    </row>
    <row r="411">
      <c r="A411" s="39" t="s">
        <v>56</v>
      </c>
    </row>
    <row r="412">
      <c r="A412" s="39" t="s">
        <v>57</v>
      </c>
    </row>
    <row r="413">
      <c r="A413" s="39" t="s">
        <v>58</v>
      </c>
    </row>
    <row r="414">
      <c r="A414" s="39" t="s">
        <v>59</v>
      </c>
    </row>
    <row r="415">
      <c r="A415" s="39" t="s">
        <v>19</v>
      </c>
    </row>
    <row r="416">
      <c r="A416" s="39" t="s">
        <v>60</v>
      </c>
    </row>
    <row r="417">
      <c r="A417" s="39" t="s">
        <v>61</v>
      </c>
    </row>
    <row r="418">
      <c r="A418" s="39" t="s">
        <v>14</v>
      </c>
    </row>
    <row r="419">
      <c r="A419" s="39" t="s">
        <v>62</v>
      </c>
    </row>
    <row r="420">
      <c r="A420" s="39" t="s">
        <v>63</v>
      </c>
    </row>
    <row r="421">
      <c r="A421" s="39" t="s">
        <v>12</v>
      </c>
    </row>
    <row r="422">
      <c r="A422" s="39" t="s">
        <v>64</v>
      </c>
    </row>
    <row r="423">
      <c r="A423" s="39" t="s">
        <v>52</v>
      </c>
    </row>
    <row r="424">
      <c r="A424" s="39" t="s">
        <v>65</v>
      </c>
    </row>
    <row r="425">
      <c r="A425" s="39" t="s">
        <v>23</v>
      </c>
    </row>
    <row r="426">
      <c r="A426" s="39" t="s">
        <v>30</v>
      </c>
    </row>
    <row r="427">
      <c r="A427" s="39" t="s">
        <v>66</v>
      </c>
    </row>
    <row r="428">
      <c r="A428" s="40"/>
    </row>
    <row r="429">
      <c r="A429" s="40"/>
    </row>
    <row r="430">
      <c r="A430" s="40"/>
    </row>
    <row r="431">
      <c r="A431" s="40"/>
    </row>
    <row r="432">
      <c r="A432" s="40"/>
    </row>
    <row r="433">
      <c r="A433" s="40"/>
    </row>
    <row r="434">
      <c r="A434" s="38" t="s">
        <v>3</v>
      </c>
    </row>
    <row r="435">
      <c r="A435" s="39" t="s">
        <v>49</v>
      </c>
    </row>
    <row r="436">
      <c r="A436" s="39" t="s">
        <v>53</v>
      </c>
    </row>
    <row r="437">
      <c r="A437" s="39" t="s">
        <v>47</v>
      </c>
    </row>
    <row r="438">
      <c r="A438" s="39" t="s">
        <v>54</v>
      </c>
    </row>
    <row r="439">
      <c r="A439" s="39" t="s">
        <v>31</v>
      </c>
    </row>
    <row r="440">
      <c r="A440" s="39" t="s">
        <v>7</v>
      </c>
    </row>
    <row r="441">
      <c r="A441" s="39" t="s">
        <v>55</v>
      </c>
    </row>
    <row r="442">
      <c r="A442" s="39" t="s">
        <v>56</v>
      </c>
    </row>
    <row r="443">
      <c r="A443" s="39" t="s">
        <v>57</v>
      </c>
    </row>
    <row r="444">
      <c r="A444" s="39" t="s">
        <v>58</v>
      </c>
    </row>
    <row r="445">
      <c r="A445" s="39" t="s">
        <v>59</v>
      </c>
    </row>
    <row r="446">
      <c r="A446" s="39" t="s">
        <v>19</v>
      </c>
    </row>
    <row r="447">
      <c r="A447" s="39" t="s">
        <v>60</v>
      </c>
    </row>
    <row r="448">
      <c r="A448" s="39" t="s">
        <v>61</v>
      </c>
    </row>
    <row r="449">
      <c r="A449" s="39" t="s">
        <v>14</v>
      </c>
    </row>
    <row r="450">
      <c r="A450" s="39" t="s">
        <v>62</v>
      </c>
    </row>
    <row r="451">
      <c r="A451" s="39" t="s">
        <v>63</v>
      </c>
    </row>
    <row r="452">
      <c r="A452" s="39" t="s">
        <v>12</v>
      </c>
    </row>
    <row r="453">
      <c r="A453" s="39" t="s">
        <v>64</v>
      </c>
    </row>
    <row r="454">
      <c r="A454" s="39" t="s">
        <v>52</v>
      </c>
    </row>
    <row r="455">
      <c r="A455" s="39" t="s">
        <v>65</v>
      </c>
    </row>
    <row r="456">
      <c r="A456" s="39" t="s">
        <v>23</v>
      </c>
    </row>
    <row r="457">
      <c r="A457" s="39" t="s">
        <v>30</v>
      </c>
    </row>
    <row r="458">
      <c r="A458" s="39" t="s">
        <v>66</v>
      </c>
    </row>
    <row r="459">
      <c r="A459" s="40"/>
    </row>
    <row r="460">
      <c r="A460" s="40"/>
    </row>
    <row r="461">
      <c r="A461" s="40"/>
    </row>
    <row r="462">
      <c r="A462" s="40"/>
    </row>
    <row r="463">
      <c r="A463" s="40"/>
    </row>
    <row r="464">
      <c r="A464" s="40"/>
    </row>
    <row r="465">
      <c r="A465" s="38" t="s">
        <v>3</v>
      </c>
    </row>
    <row r="466">
      <c r="A466" s="39" t="s">
        <v>49</v>
      </c>
    </row>
    <row r="467">
      <c r="A467" s="39" t="s">
        <v>53</v>
      </c>
    </row>
    <row r="468">
      <c r="A468" s="39" t="s">
        <v>47</v>
      </c>
    </row>
    <row r="469">
      <c r="A469" s="39" t="s">
        <v>54</v>
      </c>
    </row>
    <row r="470">
      <c r="A470" s="39" t="s">
        <v>31</v>
      </c>
    </row>
    <row r="471">
      <c r="A471" s="39" t="s">
        <v>7</v>
      </c>
    </row>
    <row r="472">
      <c r="A472" s="39" t="s">
        <v>55</v>
      </c>
    </row>
    <row r="473">
      <c r="A473" s="39" t="s">
        <v>56</v>
      </c>
    </row>
    <row r="474">
      <c r="A474" s="39" t="s">
        <v>57</v>
      </c>
    </row>
    <row r="475">
      <c r="A475" s="39" t="s">
        <v>58</v>
      </c>
    </row>
    <row r="476">
      <c r="A476" s="39" t="s">
        <v>59</v>
      </c>
    </row>
    <row r="477">
      <c r="A477" s="39" t="s">
        <v>19</v>
      </c>
    </row>
    <row r="478">
      <c r="A478" s="39" t="s">
        <v>60</v>
      </c>
    </row>
    <row r="479">
      <c r="A479" s="39" t="s">
        <v>61</v>
      </c>
    </row>
    <row r="480">
      <c r="A480" s="39" t="s">
        <v>14</v>
      </c>
    </row>
    <row r="481">
      <c r="A481" s="39" t="s">
        <v>62</v>
      </c>
    </row>
    <row r="482">
      <c r="A482" s="39" t="s">
        <v>63</v>
      </c>
    </row>
    <row r="483">
      <c r="A483" s="39" t="s">
        <v>12</v>
      </c>
    </row>
    <row r="484">
      <c r="A484" s="39" t="s">
        <v>64</v>
      </c>
    </row>
    <row r="485">
      <c r="A485" s="39" t="s">
        <v>52</v>
      </c>
    </row>
    <row r="486">
      <c r="A486" s="39" t="s">
        <v>65</v>
      </c>
    </row>
    <row r="487">
      <c r="A487" s="39" t="s">
        <v>23</v>
      </c>
    </row>
    <row r="488">
      <c r="A488" s="39" t="s">
        <v>30</v>
      </c>
    </row>
    <row r="489">
      <c r="A489" s="39" t="s">
        <v>66</v>
      </c>
    </row>
    <row r="490">
      <c r="A490" s="40"/>
    </row>
    <row r="491">
      <c r="A491" s="40"/>
    </row>
    <row r="492">
      <c r="A492" s="40"/>
    </row>
    <row r="493">
      <c r="A493" s="40"/>
    </row>
    <row r="494">
      <c r="A494" s="40"/>
    </row>
    <row r="495">
      <c r="A495" s="40"/>
    </row>
    <row r="496">
      <c r="A496" s="38" t="s">
        <v>3</v>
      </c>
    </row>
    <row r="497">
      <c r="A497" s="39" t="s">
        <v>49</v>
      </c>
    </row>
    <row r="498">
      <c r="A498" s="39" t="s">
        <v>53</v>
      </c>
    </row>
    <row r="499">
      <c r="A499" s="39" t="s">
        <v>47</v>
      </c>
    </row>
    <row r="500">
      <c r="A500" s="39" t="s">
        <v>54</v>
      </c>
    </row>
    <row r="501">
      <c r="A501" s="39" t="s">
        <v>31</v>
      </c>
    </row>
    <row r="502">
      <c r="A502" s="39" t="s">
        <v>7</v>
      </c>
    </row>
    <row r="503">
      <c r="A503" s="39" t="s">
        <v>55</v>
      </c>
    </row>
    <row r="504">
      <c r="A504" s="39" t="s">
        <v>56</v>
      </c>
    </row>
    <row r="505">
      <c r="A505" s="39" t="s">
        <v>57</v>
      </c>
    </row>
    <row r="506">
      <c r="A506" s="39" t="s">
        <v>58</v>
      </c>
    </row>
    <row r="507">
      <c r="A507" s="39" t="s">
        <v>59</v>
      </c>
    </row>
    <row r="508">
      <c r="A508" s="39" t="s">
        <v>19</v>
      </c>
    </row>
    <row r="509">
      <c r="A509" s="39" t="s">
        <v>60</v>
      </c>
    </row>
    <row r="510">
      <c r="A510" s="39" t="s">
        <v>61</v>
      </c>
    </row>
    <row r="511">
      <c r="A511" s="39" t="s">
        <v>14</v>
      </c>
    </row>
    <row r="512">
      <c r="A512" s="39" t="s">
        <v>62</v>
      </c>
    </row>
    <row r="513">
      <c r="A513" s="39" t="s">
        <v>63</v>
      </c>
    </row>
    <row r="514">
      <c r="A514" s="39" t="s">
        <v>12</v>
      </c>
    </row>
    <row r="515">
      <c r="A515" s="39" t="s">
        <v>64</v>
      </c>
    </row>
    <row r="516">
      <c r="A516" s="39" t="s">
        <v>52</v>
      </c>
    </row>
    <row r="517">
      <c r="A517" s="39" t="s">
        <v>65</v>
      </c>
    </row>
    <row r="518">
      <c r="A518" s="39" t="s">
        <v>23</v>
      </c>
    </row>
    <row r="519">
      <c r="A519" s="39" t="s">
        <v>30</v>
      </c>
    </row>
    <row r="520">
      <c r="A520" s="39" t="s">
        <v>66</v>
      </c>
    </row>
    <row r="521">
      <c r="A521" s="40"/>
    </row>
    <row r="522">
      <c r="A522" s="40"/>
    </row>
    <row r="523">
      <c r="A523" s="40"/>
    </row>
    <row r="524">
      <c r="A524" s="40"/>
    </row>
    <row r="525">
      <c r="A525" s="40"/>
    </row>
    <row r="526">
      <c r="A526" s="40"/>
    </row>
    <row r="527">
      <c r="A527" s="38" t="s">
        <v>3</v>
      </c>
    </row>
    <row r="528">
      <c r="A528" s="39" t="s">
        <v>49</v>
      </c>
    </row>
    <row r="529">
      <c r="A529" s="39" t="s">
        <v>53</v>
      </c>
    </row>
    <row r="530">
      <c r="A530" s="39" t="s">
        <v>47</v>
      </c>
    </row>
    <row r="531">
      <c r="A531" s="39" t="s">
        <v>54</v>
      </c>
    </row>
    <row r="532">
      <c r="A532" s="39" t="s">
        <v>31</v>
      </c>
    </row>
    <row r="533">
      <c r="A533" s="39" t="s">
        <v>7</v>
      </c>
    </row>
    <row r="534">
      <c r="A534" s="39" t="s">
        <v>55</v>
      </c>
    </row>
    <row r="535">
      <c r="A535" s="39" t="s">
        <v>56</v>
      </c>
    </row>
    <row r="536">
      <c r="A536" s="39" t="s">
        <v>57</v>
      </c>
    </row>
    <row r="537">
      <c r="A537" s="39" t="s">
        <v>58</v>
      </c>
    </row>
    <row r="538">
      <c r="A538" s="39" t="s">
        <v>59</v>
      </c>
    </row>
    <row r="539">
      <c r="A539" s="39" t="s">
        <v>19</v>
      </c>
    </row>
    <row r="540">
      <c r="A540" s="39" t="s">
        <v>60</v>
      </c>
    </row>
    <row r="541">
      <c r="A541" s="39" t="s">
        <v>61</v>
      </c>
    </row>
    <row r="542">
      <c r="A542" s="39" t="s">
        <v>14</v>
      </c>
    </row>
    <row r="543">
      <c r="A543" s="39" t="s">
        <v>62</v>
      </c>
    </row>
    <row r="544">
      <c r="A544" s="39" t="s">
        <v>63</v>
      </c>
    </row>
    <row r="545">
      <c r="A545" s="39" t="s">
        <v>12</v>
      </c>
    </row>
    <row r="546">
      <c r="A546" s="39" t="s">
        <v>64</v>
      </c>
    </row>
    <row r="547">
      <c r="A547" s="39" t="s">
        <v>52</v>
      </c>
    </row>
    <row r="548">
      <c r="A548" s="39" t="s">
        <v>65</v>
      </c>
    </row>
    <row r="549">
      <c r="A549" s="39" t="s">
        <v>23</v>
      </c>
    </row>
    <row r="550">
      <c r="A550" s="39" t="s">
        <v>30</v>
      </c>
    </row>
    <row r="551">
      <c r="A551" s="39" t="s">
        <v>66</v>
      </c>
    </row>
    <row r="552">
      <c r="A552" s="40"/>
    </row>
    <row r="553">
      <c r="A553" s="40"/>
    </row>
    <row r="554">
      <c r="A554" s="40"/>
    </row>
    <row r="555">
      <c r="A555" s="40"/>
    </row>
    <row r="556">
      <c r="A556" s="40"/>
    </row>
    <row r="557">
      <c r="A557" s="40"/>
    </row>
    <row r="558">
      <c r="A558" s="38" t="s">
        <v>3</v>
      </c>
    </row>
    <row r="559">
      <c r="A559" s="39" t="s">
        <v>49</v>
      </c>
    </row>
    <row r="560">
      <c r="A560" s="39" t="s">
        <v>53</v>
      </c>
    </row>
    <row r="561">
      <c r="A561" s="39" t="s">
        <v>47</v>
      </c>
    </row>
    <row r="562">
      <c r="A562" s="39" t="s">
        <v>54</v>
      </c>
    </row>
    <row r="563">
      <c r="A563" s="39" t="s">
        <v>31</v>
      </c>
    </row>
    <row r="564">
      <c r="A564" s="39" t="s">
        <v>7</v>
      </c>
    </row>
    <row r="565">
      <c r="A565" s="39" t="s">
        <v>55</v>
      </c>
    </row>
    <row r="566">
      <c r="A566" s="39" t="s">
        <v>56</v>
      </c>
    </row>
    <row r="567">
      <c r="A567" s="39" t="s">
        <v>57</v>
      </c>
    </row>
    <row r="568">
      <c r="A568" s="39" t="s">
        <v>58</v>
      </c>
    </row>
    <row r="569">
      <c r="A569" s="39" t="s">
        <v>59</v>
      </c>
    </row>
    <row r="570">
      <c r="A570" s="39" t="s">
        <v>19</v>
      </c>
    </row>
    <row r="571">
      <c r="A571" s="39" t="s">
        <v>60</v>
      </c>
    </row>
    <row r="572">
      <c r="A572" s="39" t="s">
        <v>61</v>
      </c>
    </row>
    <row r="573">
      <c r="A573" s="39" t="s">
        <v>14</v>
      </c>
    </row>
    <row r="574">
      <c r="A574" s="39" t="s">
        <v>62</v>
      </c>
    </row>
    <row r="575">
      <c r="A575" s="39" t="s">
        <v>63</v>
      </c>
    </row>
    <row r="576">
      <c r="A576" s="39" t="s">
        <v>12</v>
      </c>
    </row>
    <row r="577">
      <c r="A577" s="39" t="s">
        <v>64</v>
      </c>
    </row>
    <row r="578">
      <c r="A578" s="39" t="s">
        <v>52</v>
      </c>
    </row>
    <row r="579">
      <c r="A579" s="39" t="s">
        <v>65</v>
      </c>
    </row>
    <row r="580">
      <c r="A580" s="39" t="s">
        <v>23</v>
      </c>
    </row>
    <row r="581">
      <c r="A581" s="39" t="s">
        <v>30</v>
      </c>
    </row>
    <row r="582">
      <c r="A582" s="39" t="s">
        <v>66</v>
      </c>
    </row>
    <row r="583">
      <c r="A583" s="40"/>
    </row>
    <row r="584">
      <c r="A584" s="40"/>
    </row>
    <row r="585">
      <c r="A585" s="40"/>
    </row>
    <row r="586">
      <c r="A586" s="40"/>
    </row>
    <row r="587">
      <c r="A587" s="40"/>
    </row>
    <row r="588">
      <c r="A588" s="40"/>
    </row>
    <row r="589">
      <c r="A589" s="38" t="s">
        <v>3</v>
      </c>
    </row>
    <row r="590">
      <c r="A590" s="39" t="s">
        <v>49</v>
      </c>
    </row>
    <row r="591">
      <c r="A591" s="39" t="s">
        <v>53</v>
      </c>
    </row>
    <row r="592">
      <c r="A592" s="39" t="s">
        <v>47</v>
      </c>
    </row>
    <row r="593">
      <c r="A593" s="39" t="s">
        <v>54</v>
      </c>
    </row>
    <row r="594">
      <c r="A594" s="39" t="s">
        <v>31</v>
      </c>
    </row>
    <row r="595">
      <c r="A595" s="39" t="s">
        <v>7</v>
      </c>
    </row>
    <row r="596">
      <c r="A596" s="39" t="s">
        <v>55</v>
      </c>
    </row>
    <row r="597">
      <c r="A597" s="39" t="s">
        <v>56</v>
      </c>
    </row>
    <row r="598">
      <c r="A598" s="39" t="s">
        <v>57</v>
      </c>
    </row>
    <row r="599">
      <c r="A599" s="39" t="s">
        <v>58</v>
      </c>
    </row>
    <row r="600">
      <c r="A600" s="39" t="s">
        <v>59</v>
      </c>
    </row>
    <row r="601">
      <c r="A601" s="39" t="s">
        <v>19</v>
      </c>
    </row>
    <row r="602">
      <c r="A602" s="39" t="s">
        <v>60</v>
      </c>
    </row>
    <row r="603">
      <c r="A603" s="39" t="s">
        <v>61</v>
      </c>
    </row>
    <row r="604">
      <c r="A604" s="39" t="s">
        <v>14</v>
      </c>
    </row>
    <row r="605">
      <c r="A605" s="39" t="s">
        <v>62</v>
      </c>
    </row>
    <row r="606">
      <c r="A606" s="39" t="s">
        <v>63</v>
      </c>
    </row>
    <row r="607">
      <c r="A607" s="39" t="s">
        <v>12</v>
      </c>
    </row>
    <row r="608">
      <c r="A608" s="39" t="s">
        <v>64</v>
      </c>
    </row>
    <row r="609">
      <c r="A609" s="39" t="s">
        <v>52</v>
      </c>
    </row>
    <row r="610">
      <c r="A610" s="39" t="s">
        <v>65</v>
      </c>
    </row>
    <row r="611">
      <c r="A611" s="39" t="s">
        <v>23</v>
      </c>
    </row>
    <row r="612">
      <c r="A612" s="39" t="s">
        <v>30</v>
      </c>
    </row>
    <row r="613">
      <c r="A613" s="39" t="s">
        <v>66</v>
      </c>
    </row>
    <row r="614">
      <c r="A614" s="40"/>
    </row>
    <row r="615">
      <c r="A615" s="40"/>
    </row>
    <row r="616">
      <c r="A616" s="40"/>
    </row>
    <row r="617">
      <c r="A617" s="40"/>
    </row>
    <row r="618">
      <c r="A618" s="40"/>
    </row>
    <row r="619">
      <c r="A619" s="40"/>
    </row>
    <row r="620">
      <c r="A620" s="38" t="s">
        <v>3</v>
      </c>
    </row>
    <row r="621">
      <c r="A621" s="39" t="s">
        <v>49</v>
      </c>
    </row>
    <row r="622">
      <c r="A622" s="39" t="s">
        <v>53</v>
      </c>
    </row>
    <row r="623">
      <c r="A623" s="39" t="s">
        <v>47</v>
      </c>
    </row>
    <row r="624">
      <c r="A624" s="39" t="s">
        <v>54</v>
      </c>
    </row>
    <row r="625">
      <c r="A625" s="39" t="s">
        <v>31</v>
      </c>
    </row>
    <row r="626">
      <c r="A626" s="39" t="s">
        <v>7</v>
      </c>
    </row>
    <row r="627">
      <c r="A627" s="39" t="s">
        <v>55</v>
      </c>
    </row>
    <row r="628">
      <c r="A628" s="39" t="s">
        <v>56</v>
      </c>
    </row>
    <row r="629">
      <c r="A629" s="39" t="s">
        <v>57</v>
      </c>
    </row>
    <row r="630">
      <c r="A630" s="39" t="s">
        <v>58</v>
      </c>
    </row>
    <row r="631">
      <c r="A631" s="39" t="s">
        <v>59</v>
      </c>
    </row>
    <row r="632">
      <c r="A632" s="39" t="s">
        <v>19</v>
      </c>
    </row>
    <row r="633">
      <c r="A633" s="39" t="s">
        <v>60</v>
      </c>
    </row>
    <row r="634">
      <c r="A634" s="39" t="s">
        <v>61</v>
      </c>
    </row>
    <row r="635">
      <c r="A635" s="39" t="s">
        <v>14</v>
      </c>
    </row>
    <row r="636">
      <c r="A636" s="39" t="s">
        <v>62</v>
      </c>
    </row>
    <row r="637">
      <c r="A637" s="39" t="s">
        <v>63</v>
      </c>
    </row>
    <row r="638">
      <c r="A638" s="39" t="s">
        <v>12</v>
      </c>
    </row>
    <row r="639">
      <c r="A639" s="39" t="s">
        <v>64</v>
      </c>
    </row>
    <row r="640">
      <c r="A640" s="39" t="s">
        <v>52</v>
      </c>
    </row>
    <row r="641">
      <c r="A641" s="39" t="s">
        <v>65</v>
      </c>
    </row>
    <row r="642">
      <c r="A642" s="39" t="s">
        <v>23</v>
      </c>
    </row>
    <row r="643">
      <c r="A643" s="39" t="s">
        <v>30</v>
      </c>
    </row>
    <row r="644">
      <c r="A644" s="39" t="s">
        <v>66</v>
      </c>
    </row>
    <row r="645">
      <c r="A645" s="40"/>
    </row>
    <row r="646">
      <c r="A646" s="40"/>
    </row>
    <row r="647">
      <c r="A647" s="40"/>
    </row>
    <row r="648">
      <c r="A648" s="40"/>
    </row>
    <row r="649">
      <c r="A649" s="40"/>
    </row>
    <row r="650">
      <c r="A650" s="40"/>
    </row>
    <row r="651">
      <c r="A651" s="38" t="s">
        <v>3</v>
      </c>
    </row>
    <row r="652">
      <c r="A652" s="39" t="s">
        <v>49</v>
      </c>
    </row>
    <row r="653">
      <c r="A653" s="39" t="s">
        <v>53</v>
      </c>
    </row>
    <row r="654">
      <c r="A654" s="39" t="s">
        <v>47</v>
      </c>
    </row>
    <row r="655">
      <c r="A655" s="39" t="s">
        <v>54</v>
      </c>
    </row>
    <row r="656">
      <c r="A656" s="39" t="s">
        <v>31</v>
      </c>
    </row>
    <row r="657">
      <c r="A657" s="39" t="s">
        <v>7</v>
      </c>
    </row>
    <row r="658">
      <c r="A658" s="39" t="s">
        <v>55</v>
      </c>
    </row>
    <row r="659">
      <c r="A659" s="39" t="s">
        <v>56</v>
      </c>
    </row>
    <row r="660">
      <c r="A660" s="39" t="s">
        <v>57</v>
      </c>
    </row>
    <row r="661">
      <c r="A661" s="39" t="s">
        <v>58</v>
      </c>
    </row>
    <row r="662">
      <c r="A662" s="39" t="s">
        <v>59</v>
      </c>
    </row>
    <row r="663">
      <c r="A663" s="39" t="s">
        <v>19</v>
      </c>
    </row>
    <row r="664">
      <c r="A664" s="39" t="s">
        <v>60</v>
      </c>
    </row>
    <row r="665">
      <c r="A665" s="39" t="s">
        <v>61</v>
      </c>
    </row>
    <row r="666">
      <c r="A666" s="39" t="s">
        <v>14</v>
      </c>
    </row>
    <row r="667">
      <c r="A667" s="39" t="s">
        <v>62</v>
      </c>
    </row>
    <row r="668">
      <c r="A668" s="39" t="s">
        <v>63</v>
      </c>
    </row>
    <row r="669">
      <c r="A669" s="39" t="s">
        <v>12</v>
      </c>
    </row>
    <row r="670">
      <c r="A670" s="39" t="s">
        <v>64</v>
      </c>
    </row>
    <row r="671">
      <c r="A671" s="39" t="s">
        <v>52</v>
      </c>
    </row>
    <row r="672">
      <c r="A672" s="39" t="s">
        <v>65</v>
      </c>
    </row>
    <row r="673">
      <c r="A673" s="39" t="s">
        <v>23</v>
      </c>
    </row>
    <row r="674">
      <c r="A674" s="39" t="s">
        <v>30</v>
      </c>
    </row>
    <row r="675">
      <c r="A675" s="39" t="s">
        <v>66</v>
      </c>
    </row>
    <row r="676">
      <c r="A676" s="40"/>
    </row>
    <row r="677">
      <c r="A677" s="40"/>
    </row>
    <row r="678">
      <c r="A678" s="40"/>
    </row>
    <row r="679">
      <c r="A679" s="40"/>
    </row>
    <row r="680">
      <c r="A680" s="40"/>
    </row>
    <row r="681">
      <c r="A681" s="40"/>
    </row>
    <row r="682">
      <c r="A682" s="38" t="s">
        <v>3</v>
      </c>
    </row>
    <row r="683">
      <c r="A683" s="39" t="s">
        <v>49</v>
      </c>
    </row>
    <row r="684">
      <c r="A684" s="39" t="s">
        <v>53</v>
      </c>
    </row>
    <row r="685">
      <c r="A685" s="39" t="s">
        <v>47</v>
      </c>
    </row>
    <row r="686">
      <c r="A686" s="39" t="s">
        <v>54</v>
      </c>
    </row>
    <row r="687">
      <c r="A687" s="39" t="s">
        <v>31</v>
      </c>
    </row>
    <row r="688">
      <c r="A688" s="39" t="s">
        <v>7</v>
      </c>
    </row>
    <row r="689">
      <c r="A689" s="39" t="s">
        <v>55</v>
      </c>
    </row>
    <row r="690">
      <c r="A690" s="39" t="s">
        <v>56</v>
      </c>
    </row>
    <row r="691">
      <c r="A691" s="39" t="s">
        <v>57</v>
      </c>
    </row>
    <row r="692">
      <c r="A692" s="39" t="s">
        <v>58</v>
      </c>
    </row>
    <row r="693">
      <c r="A693" s="39" t="s">
        <v>59</v>
      </c>
    </row>
    <row r="694">
      <c r="A694" s="39" t="s">
        <v>19</v>
      </c>
    </row>
    <row r="695">
      <c r="A695" s="39" t="s">
        <v>60</v>
      </c>
    </row>
    <row r="696">
      <c r="A696" s="39" t="s">
        <v>61</v>
      </c>
    </row>
    <row r="697">
      <c r="A697" s="39" t="s">
        <v>14</v>
      </c>
    </row>
    <row r="698">
      <c r="A698" s="39" t="s">
        <v>62</v>
      </c>
    </row>
    <row r="699">
      <c r="A699" s="39" t="s">
        <v>63</v>
      </c>
    </row>
    <row r="700">
      <c r="A700" s="39" t="s">
        <v>12</v>
      </c>
    </row>
    <row r="701">
      <c r="A701" s="39" t="s">
        <v>64</v>
      </c>
    </row>
    <row r="702">
      <c r="A702" s="39" t="s">
        <v>52</v>
      </c>
    </row>
    <row r="703">
      <c r="A703" s="39" t="s">
        <v>65</v>
      </c>
    </row>
    <row r="704">
      <c r="A704" s="39" t="s">
        <v>23</v>
      </c>
    </row>
    <row r="705">
      <c r="A705" s="39" t="s">
        <v>30</v>
      </c>
    </row>
    <row r="706">
      <c r="A706" s="39" t="s">
        <v>66</v>
      </c>
    </row>
    <row r="707">
      <c r="A707" s="40"/>
    </row>
    <row r="708">
      <c r="A708" s="40"/>
    </row>
    <row r="709">
      <c r="A709" s="40"/>
    </row>
    <row r="710">
      <c r="A710" s="40"/>
    </row>
    <row r="711">
      <c r="A711" s="40"/>
    </row>
    <row r="712">
      <c r="A712" s="40"/>
    </row>
    <row r="713">
      <c r="A713" s="38" t="s">
        <v>3</v>
      </c>
    </row>
    <row r="714">
      <c r="A714" s="39" t="s">
        <v>49</v>
      </c>
    </row>
    <row r="715">
      <c r="A715" s="39" t="s">
        <v>53</v>
      </c>
    </row>
    <row r="716">
      <c r="A716" s="39" t="s">
        <v>47</v>
      </c>
    </row>
    <row r="717">
      <c r="A717" s="39" t="s">
        <v>54</v>
      </c>
    </row>
    <row r="718">
      <c r="A718" s="39" t="s">
        <v>31</v>
      </c>
    </row>
    <row r="719">
      <c r="A719" s="39" t="s">
        <v>7</v>
      </c>
    </row>
    <row r="720">
      <c r="A720" s="39" t="s">
        <v>55</v>
      </c>
    </row>
    <row r="721">
      <c r="A721" s="39" t="s">
        <v>56</v>
      </c>
    </row>
    <row r="722">
      <c r="A722" s="39" t="s">
        <v>57</v>
      </c>
    </row>
    <row r="723">
      <c r="A723" s="39" t="s">
        <v>58</v>
      </c>
    </row>
    <row r="724">
      <c r="A724" s="39" t="s">
        <v>59</v>
      </c>
    </row>
    <row r="725">
      <c r="A725" s="39" t="s">
        <v>19</v>
      </c>
    </row>
    <row r="726">
      <c r="A726" s="39" t="s">
        <v>60</v>
      </c>
    </row>
    <row r="727">
      <c r="A727" s="39" t="s">
        <v>61</v>
      </c>
    </row>
    <row r="728">
      <c r="A728" s="39" t="s">
        <v>14</v>
      </c>
    </row>
    <row r="729">
      <c r="A729" s="39" t="s">
        <v>62</v>
      </c>
    </row>
    <row r="730">
      <c r="A730" s="39" t="s">
        <v>63</v>
      </c>
    </row>
    <row r="731">
      <c r="A731" s="39" t="s">
        <v>12</v>
      </c>
    </row>
    <row r="732">
      <c r="A732" s="39" t="s">
        <v>64</v>
      </c>
    </row>
    <row r="733">
      <c r="A733" s="39" t="s">
        <v>52</v>
      </c>
    </row>
    <row r="734">
      <c r="A734" s="39" t="s">
        <v>65</v>
      </c>
    </row>
    <row r="735">
      <c r="A735" s="39" t="s">
        <v>23</v>
      </c>
    </row>
    <row r="736">
      <c r="A736" s="39" t="s">
        <v>30</v>
      </c>
    </row>
    <row r="737">
      <c r="A737" s="39" t="s">
        <v>66</v>
      </c>
    </row>
    <row r="738">
      <c r="A738" s="40"/>
    </row>
    <row r="739">
      <c r="A739" s="40"/>
    </row>
    <row r="740">
      <c r="A740" s="40"/>
    </row>
    <row r="741">
      <c r="A741" s="40"/>
    </row>
    <row r="742">
      <c r="A742" s="40"/>
    </row>
    <row r="743">
      <c r="A743" s="40"/>
    </row>
    <row r="744">
      <c r="A744" s="38" t="s">
        <v>3</v>
      </c>
    </row>
    <row r="745">
      <c r="A745" s="39" t="s">
        <v>49</v>
      </c>
    </row>
    <row r="746">
      <c r="A746" s="39" t="s">
        <v>53</v>
      </c>
    </row>
    <row r="747">
      <c r="A747" s="39" t="s">
        <v>47</v>
      </c>
    </row>
    <row r="748">
      <c r="A748" s="39" t="s">
        <v>54</v>
      </c>
    </row>
    <row r="749">
      <c r="A749" s="39" t="s">
        <v>31</v>
      </c>
    </row>
    <row r="750">
      <c r="A750" s="39" t="s">
        <v>7</v>
      </c>
    </row>
    <row r="751">
      <c r="A751" s="39" t="s">
        <v>55</v>
      </c>
    </row>
    <row r="752">
      <c r="A752" s="39" t="s">
        <v>56</v>
      </c>
    </row>
    <row r="753">
      <c r="A753" s="39" t="s">
        <v>57</v>
      </c>
    </row>
    <row r="754">
      <c r="A754" s="39" t="s">
        <v>58</v>
      </c>
    </row>
    <row r="755">
      <c r="A755" s="39" t="s">
        <v>59</v>
      </c>
    </row>
    <row r="756">
      <c r="A756" s="39" t="s">
        <v>19</v>
      </c>
    </row>
    <row r="757">
      <c r="A757" s="39" t="s">
        <v>60</v>
      </c>
    </row>
    <row r="758">
      <c r="A758" s="39" t="s">
        <v>61</v>
      </c>
    </row>
    <row r="759">
      <c r="A759" s="39" t="s">
        <v>14</v>
      </c>
    </row>
    <row r="760">
      <c r="A760" s="39" t="s">
        <v>62</v>
      </c>
    </row>
    <row r="761">
      <c r="A761" s="39" t="s">
        <v>63</v>
      </c>
    </row>
    <row r="762">
      <c r="A762" s="39" t="s">
        <v>12</v>
      </c>
    </row>
    <row r="763">
      <c r="A763" s="39" t="s">
        <v>64</v>
      </c>
    </row>
    <row r="764">
      <c r="A764" s="39" t="s">
        <v>52</v>
      </c>
    </row>
    <row r="765">
      <c r="A765" s="39" t="s">
        <v>65</v>
      </c>
    </row>
    <row r="766">
      <c r="A766" s="39" t="s">
        <v>23</v>
      </c>
    </row>
    <row r="767">
      <c r="A767" s="39" t="s">
        <v>30</v>
      </c>
    </row>
    <row r="768">
      <c r="A768" s="39" t="s">
        <v>66</v>
      </c>
    </row>
    <row r="769">
      <c r="A769" s="40"/>
    </row>
    <row r="770">
      <c r="A770" s="40"/>
    </row>
    <row r="771">
      <c r="A771" s="40"/>
    </row>
    <row r="772">
      <c r="A772" s="40"/>
    </row>
    <row r="773">
      <c r="A773" s="40"/>
    </row>
    <row r="774">
      <c r="A774" s="40"/>
    </row>
    <row r="775">
      <c r="A775" s="38" t="s">
        <v>3</v>
      </c>
    </row>
    <row r="776">
      <c r="A776" s="39" t="s">
        <v>49</v>
      </c>
    </row>
    <row r="777">
      <c r="A777" s="39" t="s">
        <v>53</v>
      </c>
    </row>
    <row r="778">
      <c r="A778" s="39" t="s">
        <v>47</v>
      </c>
    </row>
    <row r="779">
      <c r="A779" s="39" t="s">
        <v>54</v>
      </c>
    </row>
    <row r="780">
      <c r="A780" s="39" t="s">
        <v>31</v>
      </c>
    </row>
    <row r="781">
      <c r="A781" s="39" t="s">
        <v>7</v>
      </c>
    </row>
    <row r="782">
      <c r="A782" s="39" t="s">
        <v>55</v>
      </c>
    </row>
    <row r="783">
      <c r="A783" s="39" t="s">
        <v>56</v>
      </c>
    </row>
    <row r="784">
      <c r="A784" s="39" t="s">
        <v>57</v>
      </c>
    </row>
    <row r="785">
      <c r="A785" s="39" t="s">
        <v>58</v>
      </c>
    </row>
    <row r="786">
      <c r="A786" s="39" t="s">
        <v>59</v>
      </c>
    </row>
    <row r="787">
      <c r="A787" s="39" t="s">
        <v>19</v>
      </c>
    </row>
    <row r="788">
      <c r="A788" s="39" t="s">
        <v>60</v>
      </c>
    </row>
    <row r="789">
      <c r="A789" s="39" t="s">
        <v>61</v>
      </c>
    </row>
    <row r="790">
      <c r="A790" s="39" t="s">
        <v>14</v>
      </c>
    </row>
    <row r="791">
      <c r="A791" s="39" t="s">
        <v>62</v>
      </c>
    </row>
    <row r="792">
      <c r="A792" s="39" t="s">
        <v>63</v>
      </c>
    </row>
    <row r="793">
      <c r="A793" s="39" t="s">
        <v>12</v>
      </c>
    </row>
    <row r="794">
      <c r="A794" s="39" t="s">
        <v>64</v>
      </c>
    </row>
    <row r="795">
      <c r="A795" s="39" t="s">
        <v>52</v>
      </c>
    </row>
    <row r="796">
      <c r="A796" s="39" t="s">
        <v>65</v>
      </c>
    </row>
    <row r="797">
      <c r="A797" s="39" t="s">
        <v>23</v>
      </c>
    </row>
    <row r="798">
      <c r="A798" s="39" t="s">
        <v>30</v>
      </c>
    </row>
    <row r="799">
      <c r="A799" s="39" t="s">
        <v>66</v>
      </c>
    </row>
    <row r="800">
      <c r="A800" s="40"/>
    </row>
    <row r="801">
      <c r="A801" s="40"/>
    </row>
    <row r="802">
      <c r="A802" s="40"/>
    </row>
    <row r="803">
      <c r="A803" s="40"/>
    </row>
    <row r="804">
      <c r="A804" s="40"/>
    </row>
    <row r="805">
      <c r="A805" s="40"/>
    </row>
    <row r="806">
      <c r="A806" s="38" t="s">
        <v>3</v>
      </c>
    </row>
    <row r="807">
      <c r="A807" s="39" t="s">
        <v>49</v>
      </c>
    </row>
    <row r="808">
      <c r="A808" s="39" t="s">
        <v>53</v>
      </c>
    </row>
    <row r="809">
      <c r="A809" s="39" t="s">
        <v>47</v>
      </c>
    </row>
    <row r="810">
      <c r="A810" s="39" t="s">
        <v>54</v>
      </c>
    </row>
    <row r="811">
      <c r="A811" s="39" t="s">
        <v>31</v>
      </c>
    </row>
    <row r="812">
      <c r="A812" s="39" t="s">
        <v>7</v>
      </c>
    </row>
    <row r="813">
      <c r="A813" s="39" t="s">
        <v>55</v>
      </c>
    </row>
    <row r="814">
      <c r="A814" s="39" t="s">
        <v>56</v>
      </c>
    </row>
    <row r="815">
      <c r="A815" s="39" t="s">
        <v>57</v>
      </c>
    </row>
    <row r="816">
      <c r="A816" s="39" t="s">
        <v>58</v>
      </c>
    </row>
    <row r="817">
      <c r="A817" s="39" t="s">
        <v>59</v>
      </c>
    </row>
    <row r="818">
      <c r="A818" s="39" t="s">
        <v>19</v>
      </c>
    </row>
    <row r="819">
      <c r="A819" s="39" t="s">
        <v>60</v>
      </c>
    </row>
    <row r="820">
      <c r="A820" s="39" t="s">
        <v>61</v>
      </c>
    </row>
    <row r="821">
      <c r="A821" s="39" t="s">
        <v>14</v>
      </c>
    </row>
    <row r="822">
      <c r="A822" s="39" t="s">
        <v>62</v>
      </c>
    </row>
    <row r="823">
      <c r="A823" s="39" t="s">
        <v>63</v>
      </c>
    </row>
    <row r="824">
      <c r="A824" s="39" t="s">
        <v>12</v>
      </c>
    </row>
    <row r="825">
      <c r="A825" s="39" t="s">
        <v>64</v>
      </c>
    </row>
    <row r="826">
      <c r="A826" s="39" t="s">
        <v>52</v>
      </c>
    </row>
    <row r="827">
      <c r="A827" s="39" t="s">
        <v>65</v>
      </c>
    </row>
    <row r="828">
      <c r="A828" s="39" t="s">
        <v>23</v>
      </c>
    </row>
    <row r="829">
      <c r="A829" s="39" t="s">
        <v>30</v>
      </c>
    </row>
    <row r="830">
      <c r="A830" s="39" t="s">
        <v>66</v>
      </c>
    </row>
    <row r="831">
      <c r="A831" s="40"/>
    </row>
    <row r="832">
      <c r="A832" s="40"/>
    </row>
    <row r="833">
      <c r="A833" s="40"/>
    </row>
    <row r="834">
      <c r="A834" s="40"/>
    </row>
    <row r="835">
      <c r="A835" s="40"/>
    </row>
    <row r="836">
      <c r="A836" s="40"/>
    </row>
    <row r="837">
      <c r="A837" s="38" t="s">
        <v>3</v>
      </c>
    </row>
    <row r="838">
      <c r="A838" s="39" t="s">
        <v>49</v>
      </c>
    </row>
    <row r="839">
      <c r="A839" s="39" t="s">
        <v>53</v>
      </c>
    </row>
    <row r="840">
      <c r="A840" s="39" t="s">
        <v>47</v>
      </c>
    </row>
    <row r="841">
      <c r="A841" s="39" t="s">
        <v>54</v>
      </c>
    </row>
    <row r="842">
      <c r="A842" s="39" t="s">
        <v>31</v>
      </c>
    </row>
    <row r="843">
      <c r="A843" s="39" t="s">
        <v>7</v>
      </c>
    </row>
    <row r="844">
      <c r="A844" s="39" t="s">
        <v>55</v>
      </c>
    </row>
    <row r="845">
      <c r="A845" s="39" t="s">
        <v>56</v>
      </c>
    </row>
    <row r="846">
      <c r="A846" s="39" t="s">
        <v>57</v>
      </c>
    </row>
    <row r="847">
      <c r="A847" s="39" t="s">
        <v>58</v>
      </c>
    </row>
    <row r="848">
      <c r="A848" s="39" t="s">
        <v>59</v>
      </c>
    </row>
    <row r="849">
      <c r="A849" s="39" t="s">
        <v>19</v>
      </c>
    </row>
    <row r="850">
      <c r="A850" s="39" t="s">
        <v>60</v>
      </c>
    </row>
    <row r="851">
      <c r="A851" s="39" t="s">
        <v>61</v>
      </c>
    </row>
    <row r="852">
      <c r="A852" s="39" t="s">
        <v>14</v>
      </c>
    </row>
    <row r="853">
      <c r="A853" s="39" t="s">
        <v>62</v>
      </c>
    </row>
    <row r="854">
      <c r="A854" s="39" t="s">
        <v>63</v>
      </c>
    </row>
    <row r="855">
      <c r="A855" s="39" t="s">
        <v>12</v>
      </c>
    </row>
    <row r="856">
      <c r="A856" s="39" t="s">
        <v>64</v>
      </c>
    </row>
    <row r="857">
      <c r="A857" s="39" t="s">
        <v>52</v>
      </c>
    </row>
    <row r="858">
      <c r="A858" s="39" t="s">
        <v>65</v>
      </c>
    </row>
    <row r="859">
      <c r="A859" s="39" t="s">
        <v>23</v>
      </c>
    </row>
    <row r="860">
      <c r="A860" s="39" t="s">
        <v>30</v>
      </c>
    </row>
    <row r="861">
      <c r="A861" s="39" t="s">
        <v>66</v>
      </c>
    </row>
    <row r="862">
      <c r="A862" s="40"/>
    </row>
    <row r="863">
      <c r="A863" s="40"/>
    </row>
    <row r="864">
      <c r="A864" s="40"/>
    </row>
    <row r="865">
      <c r="A865" s="40"/>
    </row>
    <row r="866">
      <c r="A866" s="40"/>
    </row>
    <row r="867">
      <c r="A867" s="40"/>
    </row>
    <row r="868">
      <c r="A868" s="38" t="s">
        <v>3</v>
      </c>
    </row>
    <row r="869">
      <c r="A869" s="39" t="s">
        <v>49</v>
      </c>
    </row>
    <row r="870">
      <c r="A870" s="39" t="s">
        <v>53</v>
      </c>
    </row>
    <row r="871">
      <c r="A871" s="39" t="s">
        <v>47</v>
      </c>
    </row>
    <row r="872">
      <c r="A872" s="39" t="s">
        <v>54</v>
      </c>
    </row>
    <row r="873">
      <c r="A873" s="39" t="s">
        <v>31</v>
      </c>
    </row>
    <row r="874">
      <c r="A874" s="39" t="s">
        <v>7</v>
      </c>
    </row>
    <row r="875">
      <c r="A875" s="39" t="s">
        <v>55</v>
      </c>
    </row>
    <row r="876">
      <c r="A876" s="39" t="s">
        <v>56</v>
      </c>
    </row>
    <row r="877">
      <c r="A877" s="39" t="s">
        <v>57</v>
      </c>
    </row>
    <row r="878">
      <c r="A878" s="39" t="s">
        <v>58</v>
      </c>
    </row>
    <row r="879">
      <c r="A879" s="39" t="s">
        <v>59</v>
      </c>
    </row>
    <row r="880">
      <c r="A880" s="39" t="s">
        <v>19</v>
      </c>
    </row>
    <row r="881">
      <c r="A881" s="39" t="s">
        <v>60</v>
      </c>
    </row>
    <row r="882">
      <c r="A882" s="39" t="s">
        <v>61</v>
      </c>
    </row>
    <row r="883">
      <c r="A883" s="39" t="s">
        <v>14</v>
      </c>
    </row>
    <row r="884">
      <c r="A884" s="39" t="s">
        <v>62</v>
      </c>
    </row>
    <row r="885">
      <c r="A885" s="39" t="s">
        <v>63</v>
      </c>
    </row>
    <row r="886">
      <c r="A886" s="39" t="s">
        <v>12</v>
      </c>
    </row>
    <row r="887">
      <c r="A887" s="39" t="s">
        <v>64</v>
      </c>
    </row>
    <row r="888">
      <c r="A888" s="39" t="s">
        <v>52</v>
      </c>
    </row>
    <row r="889">
      <c r="A889" s="39" t="s">
        <v>65</v>
      </c>
    </row>
    <row r="890">
      <c r="A890" s="39" t="s">
        <v>23</v>
      </c>
    </row>
    <row r="891">
      <c r="A891" s="39" t="s">
        <v>30</v>
      </c>
    </row>
    <row r="892">
      <c r="A892" s="39" t="s">
        <v>66</v>
      </c>
    </row>
    <row r="893">
      <c r="A893" s="40"/>
    </row>
    <row r="894">
      <c r="A894" s="40"/>
    </row>
    <row r="895">
      <c r="A895" s="40"/>
    </row>
    <row r="896">
      <c r="A896" s="40"/>
    </row>
    <row r="897">
      <c r="A897" s="40"/>
    </row>
    <row r="898">
      <c r="A898" s="40"/>
    </row>
    <row r="899">
      <c r="A899" s="38" t="s">
        <v>3</v>
      </c>
    </row>
    <row r="900">
      <c r="A900" s="39" t="s">
        <v>49</v>
      </c>
    </row>
    <row r="901">
      <c r="A901" s="39" t="s">
        <v>53</v>
      </c>
    </row>
    <row r="902">
      <c r="A902" s="39" t="s">
        <v>47</v>
      </c>
    </row>
    <row r="903">
      <c r="A903" s="39" t="s">
        <v>54</v>
      </c>
    </row>
    <row r="904">
      <c r="A904" s="39" t="s">
        <v>31</v>
      </c>
    </row>
    <row r="905">
      <c r="A905" s="39" t="s">
        <v>7</v>
      </c>
    </row>
    <row r="906">
      <c r="A906" s="39" t="s">
        <v>55</v>
      </c>
    </row>
    <row r="907">
      <c r="A907" s="39" t="s">
        <v>56</v>
      </c>
    </row>
    <row r="908">
      <c r="A908" s="39" t="s">
        <v>57</v>
      </c>
    </row>
    <row r="909">
      <c r="A909" s="39" t="s">
        <v>58</v>
      </c>
    </row>
    <row r="910">
      <c r="A910" s="39" t="s">
        <v>59</v>
      </c>
    </row>
    <row r="911">
      <c r="A911" s="39" t="s">
        <v>19</v>
      </c>
    </row>
    <row r="912">
      <c r="A912" s="39" t="s">
        <v>60</v>
      </c>
    </row>
    <row r="913">
      <c r="A913" s="39" t="s">
        <v>61</v>
      </c>
    </row>
    <row r="914">
      <c r="A914" s="39" t="s">
        <v>14</v>
      </c>
    </row>
    <row r="915">
      <c r="A915" s="39" t="s">
        <v>62</v>
      </c>
    </row>
    <row r="916">
      <c r="A916" s="39" t="s">
        <v>63</v>
      </c>
    </row>
    <row r="917">
      <c r="A917" s="39" t="s">
        <v>12</v>
      </c>
    </row>
    <row r="918">
      <c r="A918" s="39" t="s">
        <v>64</v>
      </c>
    </row>
    <row r="919">
      <c r="A919" s="39" t="s">
        <v>52</v>
      </c>
    </row>
    <row r="920">
      <c r="A920" s="39" t="s">
        <v>65</v>
      </c>
    </row>
    <row r="921">
      <c r="A921" s="39" t="s">
        <v>23</v>
      </c>
    </row>
    <row r="922">
      <c r="A922" s="39" t="s">
        <v>30</v>
      </c>
    </row>
    <row r="923">
      <c r="A923" s="39" t="s">
        <v>66</v>
      </c>
    </row>
    <row r="924">
      <c r="A924" s="40"/>
    </row>
    <row r="925">
      <c r="A925" s="40"/>
    </row>
    <row r="926">
      <c r="A926" s="40"/>
    </row>
    <row r="927">
      <c r="A927" s="40"/>
    </row>
    <row r="928">
      <c r="A928" s="40"/>
    </row>
    <row r="929">
      <c r="A929" s="40"/>
    </row>
    <row r="930">
      <c r="A930" s="38" t="s">
        <v>3</v>
      </c>
    </row>
    <row r="931">
      <c r="A931" s="39" t="s">
        <v>49</v>
      </c>
    </row>
    <row r="932">
      <c r="A932" s="39" t="s">
        <v>53</v>
      </c>
    </row>
    <row r="933">
      <c r="A933" s="39" t="s">
        <v>47</v>
      </c>
    </row>
    <row r="934">
      <c r="A934" s="39" t="s">
        <v>54</v>
      </c>
    </row>
    <row r="935">
      <c r="A935" s="39" t="s">
        <v>31</v>
      </c>
    </row>
    <row r="936">
      <c r="A936" s="39" t="s">
        <v>7</v>
      </c>
    </row>
    <row r="937">
      <c r="A937" s="39" t="s">
        <v>55</v>
      </c>
    </row>
    <row r="938">
      <c r="A938" s="39" t="s">
        <v>56</v>
      </c>
    </row>
    <row r="939">
      <c r="A939" s="39" t="s">
        <v>57</v>
      </c>
    </row>
    <row r="940">
      <c r="A940" s="39" t="s">
        <v>58</v>
      </c>
    </row>
    <row r="941">
      <c r="A941" s="39" t="s">
        <v>59</v>
      </c>
    </row>
    <row r="942">
      <c r="A942" s="39" t="s">
        <v>19</v>
      </c>
    </row>
    <row r="943">
      <c r="A943" s="39" t="s">
        <v>60</v>
      </c>
    </row>
    <row r="944">
      <c r="A944" s="39" t="s">
        <v>61</v>
      </c>
    </row>
    <row r="945">
      <c r="A945" s="39" t="s">
        <v>14</v>
      </c>
    </row>
    <row r="946">
      <c r="A946" s="39" t="s">
        <v>62</v>
      </c>
    </row>
    <row r="947">
      <c r="A947" s="39" t="s">
        <v>63</v>
      </c>
    </row>
    <row r="948">
      <c r="A948" s="39" t="s">
        <v>12</v>
      </c>
    </row>
    <row r="949">
      <c r="A949" s="39" t="s">
        <v>64</v>
      </c>
    </row>
    <row r="950">
      <c r="A950" s="39" t="s">
        <v>52</v>
      </c>
    </row>
    <row r="951">
      <c r="A951" s="39" t="s">
        <v>65</v>
      </c>
    </row>
    <row r="952">
      <c r="A952" s="39" t="s">
        <v>23</v>
      </c>
    </row>
    <row r="953">
      <c r="A953" s="39" t="s">
        <v>30</v>
      </c>
    </row>
    <row r="954">
      <c r="A954" s="39" t="s">
        <v>66</v>
      </c>
    </row>
    <row r="955">
      <c r="A955" s="40"/>
    </row>
    <row r="956">
      <c r="A956" s="40"/>
    </row>
    <row r="957">
      <c r="A957" s="40"/>
    </row>
    <row r="958">
      <c r="A958" s="40"/>
    </row>
    <row r="959">
      <c r="A959" s="40"/>
    </row>
    <row r="960">
      <c r="A960" s="40"/>
    </row>
    <row r="961">
      <c r="A961" s="38" t="s">
        <v>3</v>
      </c>
    </row>
    <row r="962">
      <c r="A962" s="39" t="s">
        <v>49</v>
      </c>
    </row>
    <row r="963">
      <c r="A963" s="39" t="s">
        <v>53</v>
      </c>
    </row>
    <row r="964">
      <c r="A964" s="39" t="s">
        <v>47</v>
      </c>
    </row>
    <row r="965">
      <c r="A965" s="39" t="s">
        <v>54</v>
      </c>
    </row>
    <row r="966">
      <c r="A966" s="39" t="s">
        <v>31</v>
      </c>
    </row>
    <row r="967">
      <c r="A967" s="39" t="s">
        <v>7</v>
      </c>
    </row>
    <row r="968">
      <c r="A968" s="39" t="s">
        <v>55</v>
      </c>
    </row>
    <row r="969">
      <c r="A969" s="39" t="s">
        <v>56</v>
      </c>
    </row>
    <row r="970">
      <c r="A970" s="39" t="s">
        <v>57</v>
      </c>
    </row>
    <row r="971">
      <c r="A971" s="39" t="s">
        <v>58</v>
      </c>
    </row>
    <row r="972">
      <c r="A972" s="39" t="s">
        <v>59</v>
      </c>
    </row>
    <row r="973">
      <c r="A973" s="39" t="s">
        <v>19</v>
      </c>
    </row>
    <row r="974">
      <c r="A974" s="39" t="s">
        <v>60</v>
      </c>
    </row>
    <row r="975">
      <c r="A975" s="39" t="s">
        <v>61</v>
      </c>
    </row>
    <row r="976">
      <c r="A976" s="39" t="s">
        <v>14</v>
      </c>
    </row>
    <row r="977">
      <c r="A977" s="39" t="s">
        <v>62</v>
      </c>
    </row>
    <row r="978">
      <c r="A978" s="39" t="s">
        <v>63</v>
      </c>
    </row>
    <row r="979">
      <c r="A979" s="39" t="s">
        <v>12</v>
      </c>
    </row>
    <row r="980">
      <c r="A980" s="39" t="s">
        <v>64</v>
      </c>
    </row>
    <row r="981">
      <c r="A981" s="39" t="s">
        <v>52</v>
      </c>
    </row>
    <row r="982">
      <c r="A982" s="39" t="s">
        <v>65</v>
      </c>
    </row>
    <row r="983">
      <c r="A983" s="39" t="s">
        <v>23</v>
      </c>
    </row>
    <row r="984">
      <c r="A984" s="39" t="s">
        <v>30</v>
      </c>
    </row>
    <row r="985">
      <c r="A985" s="39" t="s">
        <v>66</v>
      </c>
    </row>
    <row r="986">
      <c r="A986" s="40"/>
    </row>
    <row r="987">
      <c r="A987" s="40"/>
    </row>
    <row r="988">
      <c r="A988" s="40"/>
    </row>
    <row r="989">
      <c r="A989" s="40"/>
    </row>
    <row r="990">
      <c r="A990" s="40"/>
    </row>
    <row r="991">
      <c r="A991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5"/>
    <col customWidth="1" min="2" max="2" width="9.75"/>
    <col customWidth="1" min="3" max="3" width="8.5"/>
    <col customWidth="1" min="4" max="4" width="10.38"/>
    <col customWidth="1" min="5" max="5" width="8.13"/>
    <col customWidth="1" min="6" max="6" width="9.13"/>
    <col customWidth="1" min="7" max="7" width="8.88"/>
    <col customWidth="1" min="8" max="8" width="8.5"/>
    <col customWidth="1" min="9" max="9" width="9.25"/>
    <col customWidth="1" min="10" max="10" width="8.25"/>
    <col customWidth="1" min="11" max="11" width="8.13"/>
    <col customWidth="1" min="12" max="12" width="7.63"/>
    <col customWidth="1" min="13" max="13" width="8.75"/>
    <col customWidth="1" min="14" max="14" width="5.88"/>
    <col customWidth="1" min="15" max="15" width="7.5"/>
    <col customWidth="1" min="16" max="16" width="9.63"/>
    <col customWidth="1" min="17" max="17" width="10.0"/>
    <col customWidth="1" min="20" max="21" width="10.63"/>
    <col customWidth="1" min="22" max="22" width="7.5"/>
  </cols>
  <sheetData>
    <row r="1">
      <c r="A1" s="44" t="s">
        <v>3</v>
      </c>
      <c r="B1" s="45"/>
      <c r="C1" s="45"/>
      <c r="D1" s="45"/>
      <c r="E1" s="46" t="s">
        <v>67</v>
      </c>
      <c r="G1" s="45"/>
      <c r="H1" s="45"/>
      <c r="I1" s="45"/>
      <c r="J1" s="46" t="s">
        <v>68</v>
      </c>
      <c r="O1" s="45"/>
      <c r="P1" s="45"/>
      <c r="Q1" s="46" t="s">
        <v>42</v>
      </c>
      <c r="V1" s="45"/>
      <c r="W1" s="45"/>
      <c r="X1" s="47"/>
      <c r="Y1" s="47"/>
      <c r="Z1" s="47"/>
      <c r="AA1" s="47"/>
      <c r="AB1" s="47"/>
      <c r="AC1" s="47"/>
      <c r="AD1" s="47"/>
      <c r="AE1" s="47"/>
    </row>
    <row r="2">
      <c r="A2" s="44"/>
      <c r="B2" s="46" t="s">
        <v>49</v>
      </c>
      <c r="C2" s="46" t="s">
        <v>31</v>
      </c>
      <c r="D2" s="46" t="s">
        <v>69</v>
      </c>
      <c r="E2" s="46" t="s">
        <v>70</v>
      </c>
      <c r="F2" s="46" t="s">
        <v>71</v>
      </c>
      <c r="G2" s="46" t="s">
        <v>54</v>
      </c>
      <c r="H2" s="46" t="s">
        <v>14</v>
      </c>
      <c r="I2" s="46" t="s">
        <v>12</v>
      </c>
      <c r="J2" s="46" t="s">
        <v>30</v>
      </c>
      <c r="K2" s="46" t="s">
        <v>72</v>
      </c>
      <c r="L2" s="46" t="s">
        <v>73</v>
      </c>
      <c r="M2" s="46" t="s">
        <v>74</v>
      </c>
      <c r="N2" s="46" t="s">
        <v>75</v>
      </c>
      <c r="O2" s="46" t="s">
        <v>23</v>
      </c>
      <c r="P2" s="46" t="s">
        <v>56</v>
      </c>
      <c r="Q2" s="46" t="s">
        <v>76</v>
      </c>
      <c r="R2" s="46" t="s">
        <v>21</v>
      </c>
      <c r="S2" s="46" t="s">
        <v>19</v>
      </c>
      <c r="T2" s="46" t="s">
        <v>58</v>
      </c>
      <c r="U2" s="46" t="s">
        <v>77</v>
      </c>
      <c r="V2" s="46" t="s">
        <v>65</v>
      </c>
      <c r="W2" s="46" t="s">
        <v>78</v>
      </c>
      <c r="X2" s="47"/>
      <c r="Y2" s="47"/>
      <c r="Z2" s="47"/>
      <c r="AA2" s="47"/>
      <c r="AB2" s="47"/>
      <c r="AC2" s="47"/>
      <c r="AD2" s="47"/>
      <c r="AE2" s="47"/>
    </row>
    <row r="3">
      <c r="A3" s="48"/>
      <c r="B3" s="49">
        <f t="shared" ref="B3:W3" si="1">SUM(B4:B1002)</f>
        <v>3296</v>
      </c>
      <c r="C3" s="49">
        <f t="shared" si="1"/>
        <v>24614</v>
      </c>
      <c r="D3" s="49">
        <f t="shared" si="1"/>
        <v>1294</v>
      </c>
      <c r="E3" s="49">
        <f t="shared" si="1"/>
        <v>620</v>
      </c>
      <c r="F3" s="49">
        <f t="shared" si="1"/>
        <v>125</v>
      </c>
      <c r="G3" s="49">
        <f t="shared" si="1"/>
        <v>541</v>
      </c>
      <c r="H3" s="49">
        <f t="shared" si="1"/>
        <v>46436.48</v>
      </c>
      <c r="I3" s="49">
        <f t="shared" si="1"/>
        <v>5273</v>
      </c>
      <c r="J3" s="49">
        <f t="shared" si="1"/>
        <v>1426</v>
      </c>
      <c r="K3" s="49">
        <f t="shared" si="1"/>
        <v>866</v>
      </c>
      <c r="L3" s="49">
        <f t="shared" si="1"/>
        <v>1472</v>
      </c>
      <c r="M3" s="49">
        <f t="shared" si="1"/>
        <v>205</v>
      </c>
      <c r="N3" s="49">
        <f t="shared" si="1"/>
        <v>503</v>
      </c>
      <c r="O3" s="49">
        <f t="shared" si="1"/>
        <v>1985</v>
      </c>
      <c r="P3" s="49">
        <f t="shared" si="1"/>
        <v>197</v>
      </c>
      <c r="Q3" s="49">
        <f t="shared" si="1"/>
        <v>4094</v>
      </c>
      <c r="R3" s="49">
        <f t="shared" si="1"/>
        <v>19809</v>
      </c>
      <c r="S3" s="49">
        <f t="shared" si="1"/>
        <v>1308</v>
      </c>
      <c r="T3" s="49">
        <f t="shared" si="1"/>
        <v>7970</v>
      </c>
      <c r="U3" s="49">
        <f t="shared" si="1"/>
        <v>2725</v>
      </c>
      <c r="V3" s="49">
        <f t="shared" si="1"/>
        <v>6391</v>
      </c>
      <c r="W3" s="49">
        <f t="shared" si="1"/>
        <v>3778</v>
      </c>
      <c r="X3" s="50"/>
      <c r="Y3" s="50"/>
      <c r="Z3" s="50"/>
      <c r="AA3" s="50"/>
      <c r="AB3" s="50"/>
      <c r="AC3" s="50"/>
      <c r="AD3" s="50"/>
      <c r="AE3" s="50"/>
    </row>
    <row r="4">
      <c r="A4" s="38">
        <v>45805.0</v>
      </c>
      <c r="B4" s="51">
        <f>976 + 70</f>
        <v>1046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1" t="s">
        <v>46</v>
      </c>
      <c r="AA4" s="53">
        <f>SUM(A3:W3)</f>
        <v>134928.48</v>
      </c>
      <c r="AB4" s="52"/>
      <c r="AC4" s="52"/>
      <c r="AD4" s="52"/>
      <c r="AE4" s="52"/>
    </row>
    <row r="5">
      <c r="A5" s="38">
        <v>45806.0</v>
      </c>
      <c r="B5" s="51">
        <v>263.0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27" t="s">
        <v>44</v>
      </c>
      <c r="AA5" s="19">
        <v>453.6</v>
      </c>
      <c r="AB5" s="52"/>
      <c r="AC5" s="52"/>
      <c r="AD5" s="52"/>
      <c r="AE5" s="52"/>
    </row>
    <row r="6">
      <c r="A6" s="38">
        <v>45807.0</v>
      </c>
      <c r="B6" s="51">
        <v>100.0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36" t="s">
        <v>45</v>
      </c>
      <c r="AA6" s="25">
        <v>1000.0</v>
      </c>
      <c r="AB6" s="52"/>
      <c r="AC6" s="52"/>
      <c r="AD6" s="52"/>
      <c r="AE6" s="52"/>
    </row>
    <row r="7">
      <c r="A7" s="38">
        <v>45809.0</v>
      </c>
      <c r="B7" s="51">
        <v>84.0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AB7" s="52"/>
      <c r="AC7" s="52"/>
      <c r="AD7" s="52"/>
      <c r="AE7" s="52"/>
    </row>
    <row r="8">
      <c r="A8" s="38">
        <v>45814.0</v>
      </c>
      <c r="B8" s="51">
        <v>371.0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27"/>
      <c r="AA8" s="30"/>
      <c r="AB8" s="52"/>
      <c r="AC8" s="52"/>
      <c r="AD8" s="52"/>
      <c r="AE8" s="52"/>
    </row>
    <row r="9">
      <c r="A9" s="38">
        <v>45818.0</v>
      </c>
      <c r="B9" s="51">
        <v>97.0</v>
      </c>
      <c r="C9" s="52"/>
      <c r="D9" s="52"/>
      <c r="E9" s="51">
        <v>66.0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36" t="s">
        <v>48</v>
      </c>
      <c r="AA9" s="13">
        <f>AA4/AA6</f>
        <v>134.92848</v>
      </c>
      <c r="AB9" s="52"/>
      <c r="AC9" s="52"/>
      <c r="AD9" s="52"/>
      <c r="AE9" s="52"/>
    </row>
    <row r="10">
      <c r="A10" s="38">
        <v>45822.0</v>
      </c>
      <c r="B10" s="51">
        <v>164.0</v>
      </c>
      <c r="C10" s="52"/>
      <c r="D10" s="52"/>
      <c r="E10" s="51">
        <v>110.0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27" t="s">
        <v>50</v>
      </c>
      <c r="AA10" s="30">
        <f>SUM(AA4/AA5)</f>
        <v>297.4613757</v>
      </c>
      <c r="AB10" s="52"/>
      <c r="AC10" s="52"/>
      <c r="AD10" s="52"/>
      <c r="AE10" s="52"/>
    </row>
    <row r="11">
      <c r="A11" s="38">
        <v>45826.0</v>
      </c>
      <c r="B11" s="51">
        <v>65.0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</row>
    <row r="12">
      <c r="A12" s="38">
        <v>45828.0</v>
      </c>
      <c r="B12" s="52"/>
      <c r="C12" s="51">
        <v>403.0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</row>
    <row r="13">
      <c r="A13" s="38">
        <v>45833.0</v>
      </c>
      <c r="B13" s="51">
        <v>53.0</v>
      </c>
      <c r="C13" s="52"/>
      <c r="D13" s="51">
        <v>14.0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</row>
    <row r="14">
      <c r="A14" s="38">
        <v>45835.0</v>
      </c>
      <c r="B14" s="52"/>
      <c r="C14" s="52"/>
      <c r="D14" s="52"/>
      <c r="E14" s="52"/>
      <c r="F14" s="51">
        <v>125.0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</row>
    <row r="15">
      <c r="A15" s="38">
        <v>45837.0</v>
      </c>
      <c r="B15" s="52"/>
      <c r="C15" s="52"/>
      <c r="D15" s="52"/>
      <c r="E15" s="51">
        <v>248.0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</row>
    <row r="16">
      <c r="A16" s="38">
        <v>45840.0</v>
      </c>
      <c r="B16" s="52"/>
      <c r="C16" s="51">
        <v>536.0</v>
      </c>
      <c r="D16" s="51">
        <v>97.0</v>
      </c>
      <c r="E16" s="52">
        <f>115+81</f>
        <v>196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</row>
    <row r="17">
      <c r="A17" s="38">
        <v>45841.0</v>
      </c>
      <c r="B17" s="51">
        <v>10.0</v>
      </c>
      <c r="C17" s="52"/>
      <c r="D17" s="51">
        <v>33.0</v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</row>
    <row r="18">
      <c r="A18" s="38">
        <v>45842.0</v>
      </c>
      <c r="B18" s="51">
        <v>23.0</v>
      </c>
      <c r="C18" s="51">
        <v>344.0</v>
      </c>
      <c r="D18" s="51">
        <v>21.0</v>
      </c>
      <c r="E18" s="52"/>
      <c r="F18" s="52"/>
      <c r="G18" s="51">
        <v>1.0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</row>
    <row r="19">
      <c r="A19" s="38">
        <v>45845.0</v>
      </c>
      <c r="B19" s="52"/>
      <c r="C19" s="51">
        <v>1309.0</v>
      </c>
      <c r="D19" s="52"/>
      <c r="E19" s="52"/>
      <c r="F19" s="52"/>
      <c r="G19" s="51">
        <v>1.0</v>
      </c>
      <c r="H19" s="51">
        <v>348.0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</row>
    <row r="20">
      <c r="A20" s="38">
        <v>45846.0</v>
      </c>
      <c r="B20" s="52"/>
      <c r="C20" s="51">
        <v>681.0</v>
      </c>
      <c r="D20" s="52"/>
      <c r="E20" s="52"/>
      <c r="F20" s="52"/>
      <c r="G20" s="51">
        <v>4.0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>
      <c r="A21" s="38">
        <v>45847.0</v>
      </c>
      <c r="B21" s="51">
        <v>10.0</v>
      </c>
      <c r="C21" s="52"/>
      <c r="D21" s="52">
        <f>128+58+93</f>
        <v>279</v>
      </c>
      <c r="E21" s="52"/>
      <c r="F21" s="52"/>
      <c r="G21" s="52"/>
      <c r="H21" s="52">
        <f>366+345+124</f>
        <v>835</v>
      </c>
      <c r="I21" s="52"/>
      <c r="J21" s="51">
        <v>16.0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>
      <c r="A22" s="38">
        <v>45848.0</v>
      </c>
      <c r="B22" s="52"/>
      <c r="C22" s="52"/>
      <c r="D22" s="52"/>
      <c r="E22" s="52"/>
      <c r="F22" s="52"/>
      <c r="G22" s="51">
        <v>3.0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</row>
    <row r="23">
      <c r="A23" s="38">
        <v>45851.0</v>
      </c>
      <c r="B23" s="52"/>
      <c r="C23" s="51">
        <v>1528.0</v>
      </c>
      <c r="D23" s="52"/>
      <c r="E23" s="52"/>
      <c r="F23" s="52"/>
      <c r="G23" s="51">
        <v>24.0</v>
      </c>
      <c r="H23" s="52">
        <f>1840+915+2300+217+1804</f>
        <v>7076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>
      <c r="A24" s="38">
        <v>45852.0</v>
      </c>
      <c r="B24" s="52"/>
      <c r="C24" s="51">
        <v>2201.0</v>
      </c>
      <c r="D24" s="52"/>
      <c r="E24" s="52"/>
      <c r="F24" s="52"/>
      <c r="G24" s="51">
        <v>31.0</v>
      </c>
      <c r="H24" s="52">
        <f>1941+421+164</f>
        <v>2526</v>
      </c>
      <c r="I24" s="51">
        <v>302.0</v>
      </c>
      <c r="J24" s="51">
        <v>23.0</v>
      </c>
      <c r="K24" s="51"/>
      <c r="L24" s="51">
        <v>31.0</v>
      </c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</row>
    <row r="25">
      <c r="A25" s="38">
        <v>45853.0</v>
      </c>
      <c r="B25" s="52"/>
      <c r="C25" s="51">
        <v>265.0</v>
      </c>
      <c r="D25" s="51">
        <v>229.0</v>
      </c>
      <c r="E25" s="52"/>
      <c r="F25" s="52"/>
      <c r="G25" s="51">
        <v>25.0</v>
      </c>
      <c r="H25" s="51">
        <v>2270.0</v>
      </c>
      <c r="I25" s="52"/>
      <c r="J25" s="52"/>
      <c r="K25" s="52"/>
      <c r="L25" s="52"/>
      <c r="M25" s="51"/>
      <c r="N25" s="51"/>
      <c r="O25" s="51">
        <v>219.0</v>
      </c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</row>
    <row r="26">
      <c r="A26" s="38">
        <v>45854.0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1">
        <v>50.0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</row>
    <row r="27">
      <c r="A27" s="38">
        <v>45855.0</v>
      </c>
      <c r="B27" s="52"/>
      <c r="C27" s="51">
        <v>1019.0</v>
      </c>
      <c r="D27" s="52"/>
      <c r="E27" s="52"/>
      <c r="F27" s="52"/>
      <c r="G27" s="52"/>
      <c r="H27" s="52"/>
      <c r="I27" s="51">
        <v>205.0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</row>
    <row r="28">
      <c r="A28" s="38">
        <v>45856.0</v>
      </c>
      <c r="B28" s="52"/>
      <c r="C28" s="51">
        <v>579.0</v>
      </c>
      <c r="D28" s="52"/>
      <c r="E28" s="52"/>
      <c r="F28" s="52"/>
      <c r="G28" s="52"/>
      <c r="H28" s="52"/>
      <c r="I28" s="51">
        <v>524.0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</row>
    <row r="29">
      <c r="A29" s="38">
        <v>45857.0</v>
      </c>
      <c r="B29" s="51">
        <v>17.0</v>
      </c>
      <c r="C29" s="51">
        <v>416.0</v>
      </c>
      <c r="D29" s="51">
        <v>97.0</v>
      </c>
      <c r="E29" s="52"/>
      <c r="F29" s="52"/>
      <c r="G29" s="51">
        <v>47.0</v>
      </c>
      <c r="H29" s="51">
        <v>7257.48</v>
      </c>
      <c r="I29" s="52"/>
      <c r="J29" s="52"/>
      <c r="K29" s="51"/>
      <c r="L29" s="51">
        <v>47.0</v>
      </c>
      <c r="M29" s="52"/>
      <c r="N29" s="52"/>
      <c r="O29" s="52"/>
      <c r="P29" s="51">
        <v>147.0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>
      <c r="A30" s="38">
        <v>45858.0</v>
      </c>
      <c r="B30" s="51">
        <v>6.0</v>
      </c>
      <c r="C30" s="51">
        <v>451.0</v>
      </c>
      <c r="D30" s="52"/>
      <c r="E30" s="52"/>
      <c r="F30" s="52"/>
      <c r="G30" s="52"/>
      <c r="H30" s="52">
        <f>51+4082+416+1000+116</f>
        <v>5665</v>
      </c>
      <c r="I30" s="51">
        <v>255.0</v>
      </c>
      <c r="J30" s="52"/>
      <c r="K30" s="52"/>
      <c r="L30" s="52"/>
      <c r="M30" s="52"/>
      <c r="N30" s="52"/>
      <c r="O30" s="52"/>
      <c r="P30" s="52"/>
      <c r="Q30" s="51">
        <v>2.0</v>
      </c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</row>
    <row r="31">
      <c r="A31" s="38">
        <v>45859.0</v>
      </c>
      <c r="B31" s="52"/>
      <c r="C31" s="51">
        <v>457.0</v>
      </c>
      <c r="D31" s="52"/>
      <c r="E31" s="52"/>
      <c r="F31" s="52"/>
      <c r="G31" s="51">
        <v>48.0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>
      <c r="A32" s="38">
        <v>45860.0</v>
      </c>
      <c r="B32" s="52"/>
      <c r="C32" s="52"/>
      <c r="D32" s="52"/>
      <c r="E32" s="52"/>
      <c r="F32" s="52"/>
      <c r="G32" s="51">
        <v>20.0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</row>
    <row r="33">
      <c r="A33" s="38">
        <v>45861.0</v>
      </c>
      <c r="B33" s="52"/>
      <c r="C33" s="51">
        <v>660.0</v>
      </c>
      <c r="D33" s="52"/>
      <c r="E33" s="52"/>
      <c r="F33" s="52"/>
      <c r="G33" s="51">
        <v>54.0</v>
      </c>
      <c r="H33" s="52"/>
      <c r="I33" s="51">
        <v>691.0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</row>
    <row r="34">
      <c r="A34" s="38">
        <v>45862.0</v>
      </c>
      <c r="B34" s="51">
        <v>18.0</v>
      </c>
      <c r="C34" s="51">
        <v>1152.0</v>
      </c>
      <c r="D34" s="52"/>
      <c r="E34" s="52"/>
      <c r="F34" s="52"/>
      <c r="G34" s="51">
        <v>35.0</v>
      </c>
      <c r="H34" s="52">
        <f>1922+1311+865+6486</f>
        <v>10584</v>
      </c>
      <c r="I34" s="52"/>
      <c r="J34" s="52"/>
      <c r="K34" s="52"/>
      <c r="L34" s="52"/>
      <c r="M34" s="52"/>
      <c r="N34" s="52"/>
      <c r="O34" s="52"/>
      <c r="P34" s="52"/>
      <c r="Q34" s="51">
        <v>1.0</v>
      </c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</row>
    <row r="35">
      <c r="A35" s="38">
        <v>45863.0</v>
      </c>
      <c r="B35" s="51">
        <v>26.0</v>
      </c>
      <c r="C35" s="52"/>
      <c r="D35" s="51">
        <v>152.0</v>
      </c>
      <c r="E35" s="52"/>
      <c r="F35" s="52"/>
      <c r="G35" s="52"/>
      <c r="H35" s="52"/>
      <c r="I35" s="52"/>
      <c r="J35" s="51">
        <v>29.0</v>
      </c>
      <c r="K35" s="51"/>
      <c r="L35" s="51">
        <v>52.0</v>
      </c>
      <c r="M35" s="52"/>
      <c r="N35" s="52"/>
      <c r="O35" s="52"/>
      <c r="P35" s="52"/>
      <c r="Q35" s="51">
        <v>11.0</v>
      </c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</row>
    <row r="36">
      <c r="A36" s="38">
        <v>45864.0</v>
      </c>
      <c r="B36" s="51">
        <v>43.0</v>
      </c>
      <c r="C36" s="52">
        <f>1000+319+343</f>
        <v>1662</v>
      </c>
      <c r="D36" s="52"/>
      <c r="E36" s="52"/>
      <c r="F36" s="52"/>
      <c r="G36" s="51">
        <v>31.0</v>
      </c>
      <c r="H36" s="51">
        <v>3538.0</v>
      </c>
      <c r="I36" s="51">
        <v>189.0</v>
      </c>
      <c r="J36" s="52"/>
      <c r="K36" s="52"/>
      <c r="L36" s="52"/>
      <c r="M36" s="51"/>
      <c r="N36" s="51"/>
      <c r="O36" s="51">
        <v>463.0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</row>
    <row r="37">
      <c r="A37" s="38">
        <v>45865.0</v>
      </c>
      <c r="B37" s="52"/>
      <c r="C37" s="51">
        <v>883.0</v>
      </c>
      <c r="D37" s="52"/>
      <c r="E37" s="52"/>
      <c r="F37" s="52"/>
      <c r="G37" s="52"/>
      <c r="H37" s="51">
        <f>3583+313</f>
        <v>3896</v>
      </c>
      <c r="I37" s="52"/>
      <c r="J37" s="52"/>
      <c r="K37" s="52"/>
      <c r="L37" s="52"/>
      <c r="M37" s="52"/>
      <c r="N37" s="52"/>
      <c r="O37" s="52"/>
      <c r="P37" s="52"/>
      <c r="Q37" s="51">
        <v>24.0</v>
      </c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</row>
    <row r="38">
      <c r="A38" s="38">
        <v>45866.0</v>
      </c>
      <c r="B38" s="52"/>
      <c r="C38" s="51">
        <v>250.0</v>
      </c>
      <c r="D38" s="52"/>
      <c r="E38" s="52"/>
      <c r="F38" s="52"/>
      <c r="G38" s="52"/>
      <c r="H38" s="51">
        <v>1279.0</v>
      </c>
      <c r="I38" s="51">
        <v>322.0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</row>
    <row r="39">
      <c r="A39" s="38">
        <v>45867.0</v>
      </c>
      <c r="B39" s="51">
        <v>7.0</v>
      </c>
      <c r="C39" s="52"/>
      <c r="D39" s="52"/>
      <c r="E39" s="52"/>
      <c r="F39" s="52"/>
      <c r="G39" s="51">
        <v>72.0</v>
      </c>
      <c r="H39" s="52"/>
      <c r="I39" s="52"/>
      <c r="J39" s="52"/>
      <c r="K39" s="52"/>
      <c r="L39" s="52"/>
      <c r="M39" s="52"/>
      <c r="N39" s="52"/>
      <c r="O39" s="52"/>
      <c r="P39" s="52"/>
      <c r="Q39" s="51">
        <v>16.0</v>
      </c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</row>
    <row r="40">
      <c r="A40" s="38">
        <v>45868.0</v>
      </c>
      <c r="B40" s="51">
        <v>120.0</v>
      </c>
      <c r="C40" s="51">
        <v>566.0</v>
      </c>
      <c r="D40" s="51">
        <v>76.0</v>
      </c>
      <c r="E40" s="52"/>
      <c r="F40" s="52"/>
      <c r="G40" s="52"/>
      <c r="H40" s="51">
        <v>1162.0</v>
      </c>
      <c r="I40" s="51">
        <v>198.0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</row>
    <row r="41">
      <c r="A41" s="38">
        <v>45869.0</v>
      </c>
      <c r="B41" s="51">
        <v>54.0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>
        <f>377+423</f>
        <v>800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</row>
    <row r="42">
      <c r="A42" s="38">
        <v>45870.0</v>
      </c>
      <c r="B42" s="51">
        <v>57.0</v>
      </c>
      <c r="C42" s="51">
        <v>567.0</v>
      </c>
      <c r="D42" s="51"/>
      <c r="E42" s="52"/>
      <c r="F42" s="52"/>
      <c r="G42" s="51">
        <v>44.0</v>
      </c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</row>
    <row r="43">
      <c r="A43" s="38">
        <v>45871.0</v>
      </c>
      <c r="B43" s="51">
        <v>12.0</v>
      </c>
      <c r="C43" s="51">
        <v>1203.0</v>
      </c>
      <c r="D43" s="51">
        <v>37.0</v>
      </c>
      <c r="E43" s="52"/>
      <c r="F43" s="52"/>
      <c r="G43" s="51">
        <v>31.0</v>
      </c>
      <c r="H43" s="52"/>
      <c r="I43" s="51">
        <v>767.0</v>
      </c>
      <c r="J43" s="52"/>
      <c r="K43" s="52"/>
      <c r="L43" s="52"/>
      <c r="M43" s="51"/>
      <c r="N43" s="51"/>
      <c r="O43" s="51">
        <v>192.0</v>
      </c>
      <c r="P43" s="52"/>
      <c r="Q43" s="51">
        <v>67.0</v>
      </c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</row>
    <row r="44">
      <c r="A44" s="38">
        <v>45873.0</v>
      </c>
      <c r="B44" s="51">
        <v>51.0</v>
      </c>
      <c r="C44" s="51">
        <v>866.0</v>
      </c>
      <c r="D44" s="52"/>
      <c r="E44" s="52"/>
      <c r="F44" s="52"/>
      <c r="G44" s="51">
        <v>34.0</v>
      </c>
      <c r="H44" s="52"/>
      <c r="I44" s="51">
        <v>290.0</v>
      </c>
      <c r="J44" s="52"/>
      <c r="K44" s="52"/>
      <c r="L44" s="52"/>
      <c r="M44" s="52"/>
      <c r="N44" s="52"/>
      <c r="O44" s="52"/>
      <c r="P44" s="52"/>
      <c r="Q44" s="51">
        <v>35.0</v>
      </c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</row>
    <row r="45">
      <c r="A45" s="38">
        <v>45874.0</v>
      </c>
      <c r="B45" s="52"/>
      <c r="C45" s="51">
        <v>1168.0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</row>
    <row r="46">
      <c r="A46" s="54">
        <v>45875.0</v>
      </c>
      <c r="B46" s="51">
        <v>150.0</v>
      </c>
      <c r="C46" s="52"/>
      <c r="D46" s="52"/>
      <c r="E46" s="52"/>
      <c r="F46" s="52"/>
      <c r="G46" s="51">
        <v>15.0</v>
      </c>
      <c r="H46" s="52"/>
      <c r="I46" s="52"/>
      <c r="J46" s="51">
        <v>104.0</v>
      </c>
      <c r="K46" s="51"/>
      <c r="L46" s="51">
        <v>68.0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</row>
    <row r="47">
      <c r="A47" s="55">
        <v>45876.0</v>
      </c>
      <c r="B47" s="51">
        <v>91.0</v>
      </c>
      <c r="C47" s="51">
        <v>369.0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1">
        <v>30.0</v>
      </c>
      <c r="R47" s="52"/>
      <c r="S47" s="51"/>
      <c r="T47" s="51"/>
      <c r="U47" s="51"/>
      <c r="V47" s="51">
        <v>47.0</v>
      </c>
      <c r="W47" s="52"/>
      <c r="X47" s="52"/>
      <c r="Y47" s="52"/>
      <c r="Z47" s="52"/>
      <c r="AA47" s="52"/>
      <c r="AB47" s="52"/>
      <c r="AC47" s="52"/>
      <c r="AD47" s="52"/>
      <c r="AE47" s="52"/>
    </row>
    <row r="48">
      <c r="A48" s="38">
        <v>45880.0</v>
      </c>
      <c r="B48" s="51">
        <v>100.0</v>
      </c>
      <c r="C48" s="51">
        <v>3682.0</v>
      </c>
      <c r="D48" s="51">
        <v>62.0</v>
      </c>
      <c r="E48" s="52"/>
      <c r="F48" s="52"/>
      <c r="G48" s="52"/>
      <c r="H48" s="52"/>
      <c r="I48" s="51">
        <v>669.0</v>
      </c>
      <c r="J48" s="51">
        <v>90.0</v>
      </c>
      <c r="K48" s="51">
        <v>135.0</v>
      </c>
      <c r="L48" s="51">
        <v>163.0</v>
      </c>
      <c r="M48" s="52"/>
      <c r="N48" s="52"/>
      <c r="O48" s="52"/>
      <c r="P48" s="52"/>
      <c r="Q48" s="51">
        <v>50.0</v>
      </c>
      <c r="R48" s="51">
        <v>26.0</v>
      </c>
      <c r="S48" s="51">
        <v>112.0</v>
      </c>
      <c r="T48" s="51"/>
      <c r="U48" s="51"/>
      <c r="V48" s="51">
        <v>1168.0</v>
      </c>
      <c r="W48" s="52"/>
      <c r="X48" s="52"/>
      <c r="Y48" s="52"/>
      <c r="Z48" s="52"/>
      <c r="AA48" s="52"/>
      <c r="AB48" s="52"/>
      <c r="AC48" s="52"/>
      <c r="AD48" s="52"/>
      <c r="AE48" s="52"/>
    </row>
    <row r="49">
      <c r="A49" s="38">
        <v>45882.0</v>
      </c>
      <c r="B49" s="51">
        <v>24.0</v>
      </c>
      <c r="C49" s="51">
        <v>493.0</v>
      </c>
      <c r="D49" s="52"/>
      <c r="E49" s="52"/>
      <c r="F49" s="52"/>
      <c r="G49" s="51">
        <v>18.0</v>
      </c>
      <c r="H49" s="52"/>
      <c r="I49" s="52"/>
      <c r="J49" s="52"/>
      <c r="K49" s="51">
        <v>124.0</v>
      </c>
      <c r="L49" s="52"/>
      <c r="M49" s="52"/>
      <c r="N49" s="52"/>
      <c r="O49" s="52"/>
      <c r="P49" s="52"/>
      <c r="Q49" s="51">
        <v>27.0</v>
      </c>
      <c r="R49" s="52"/>
      <c r="S49" s="52"/>
      <c r="T49" s="51"/>
      <c r="U49" s="51"/>
      <c r="V49" s="51">
        <v>1500.0</v>
      </c>
      <c r="W49" s="52"/>
      <c r="X49" s="52"/>
      <c r="Y49" s="52"/>
      <c r="Z49" s="52"/>
      <c r="AA49" s="52"/>
      <c r="AB49" s="52"/>
      <c r="AC49" s="52"/>
      <c r="AD49" s="52"/>
      <c r="AE49" s="52"/>
    </row>
    <row r="50">
      <c r="A50" s="38">
        <v>45883.0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1">
        <v>31.0</v>
      </c>
      <c r="R50" s="51">
        <v>127.0</v>
      </c>
      <c r="S50" s="51">
        <v>154.0</v>
      </c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</row>
    <row r="51">
      <c r="A51" s="38">
        <v>45884.0</v>
      </c>
      <c r="B51" s="51">
        <v>79.0</v>
      </c>
      <c r="C51" s="52"/>
      <c r="D51" s="51">
        <v>81.0</v>
      </c>
      <c r="E51" s="52"/>
      <c r="F51" s="52"/>
      <c r="G51" s="51">
        <v>3.0</v>
      </c>
      <c r="H51" s="52"/>
      <c r="I51" s="51">
        <v>861.0</v>
      </c>
      <c r="J51" s="51">
        <v>171.0</v>
      </c>
      <c r="K51" s="51">
        <v>21.0</v>
      </c>
      <c r="L51" s="51">
        <v>21.0</v>
      </c>
      <c r="M51" s="52"/>
      <c r="N51" s="52"/>
      <c r="O51" s="52"/>
      <c r="P51" s="52"/>
      <c r="Q51" s="51">
        <v>51.0</v>
      </c>
      <c r="R51" s="51">
        <v>279.0</v>
      </c>
      <c r="S51" s="51">
        <v>719.0</v>
      </c>
      <c r="T51" s="51"/>
      <c r="U51" s="51"/>
      <c r="V51" s="51">
        <v>2591.0</v>
      </c>
      <c r="W51" s="51">
        <v>744.0</v>
      </c>
      <c r="X51" s="52"/>
      <c r="Y51" s="52"/>
      <c r="Z51" s="52"/>
      <c r="AA51" s="52"/>
      <c r="AB51" s="52"/>
      <c r="AC51" s="52"/>
      <c r="AD51" s="52"/>
      <c r="AE51" s="52"/>
    </row>
    <row r="52">
      <c r="A52" s="38">
        <v>45885.0</v>
      </c>
      <c r="B52" s="51">
        <v>41.0</v>
      </c>
      <c r="C52" s="52"/>
      <c r="D52" s="51">
        <v>40.0</v>
      </c>
      <c r="E52" s="52"/>
      <c r="F52" s="52"/>
      <c r="G52" s="52"/>
      <c r="H52" s="52"/>
      <c r="I52" s="52"/>
      <c r="J52" s="51">
        <v>54.0</v>
      </c>
      <c r="K52" s="52"/>
      <c r="L52" s="52"/>
      <c r="M52" s="51"/>
      <c r="N52" s="51"/>
      <c r="O52" s="51">
        <v>311.0</v>
      </c>
      <c r="P52" s="52"/>
      <c r="Q52" s="51">
        <v>97.0</v>
      </c>
      <c r="R52" s="51">
        <f>287+392+330+196</f>
        <v>1205</v>
      </c>
      <c r="S52" s="52"/>
      <c r="T52" s="51"/>
      <c r="U52" s="51">
        <v>876.0</v>
      </c>
      <c r="V52" s="52"/>
      <c r="W52" s="52"/>
      <c r="X52" s="52"/>
      <c r="Y52" s="52"/>
      <c r="Z52" s="52"/>
      <c r="AA52" s="52"/>
      <c r="AB52" s="52"/>
      <c r="AC52" s="52"/>
      <c r="AD52" s="52"/>
      <c r="AE52" s="52"/>
    </row>
    <row r="53">
      <c r="A53" s="38">
        <v>45886.0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>
        <f>541+328+75</f>
        <v>944</v>
      </c>
      <c r="W53" s="52"/>
      <c r="X53" s="52"/>
      <c r="Y53" s="52"/>
      <c r="Z53" s="52"/>
      <c r="AA53" s="52"/>
      <c r="AB53" s="52"/>
      <c r="AC53" s="52"/>
      <c r="AD53" s="52"/>
      <c r="AE53" s="52"/>
    </row>
    <row r="54">
      <c r="A54" s="38">
        <v>45887.0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1">
        <v>17.0</v>
      </c>
      <c r="R54" s="51">
        <v>585.0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</row>
    <row r="55">
      <c r="A55" s="38">
        <v>45888.0</v>
      </c>
      <c r="B55" s="51">
        <v>34.0</v>
      </c>
      <c r="C55" s="51">
        <v>433.0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1">
        <v>8.0</v>
      </c>
      <c r="R55" s="51">
        <v>356.0</v>
      </c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</row>
    <row r="56">
      <c r="A56" s="38">
        <v>45890.0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1">
        <v>12.0</v>
      </c>
      <c r="R56" s="51">
        <v>311.0</v>
      </c>
      <c r="S56" s="51">
        <v>73.0</v>
      </c>
      <c r="T56" s="52"/>
      <c r="U56" s="52"/>
      <c r="V56" s="51">
        <v>141.0</v>
      </c>
      <c r="W56" s="52"/>
      <c r="X56" s="52"/>
      <c r="Y56" s="52"/>
      <c r="Z56" s="52"/>
      <c r="AA56" s="52"/>
      <c r="AB56" s="52"/>
      <c r="AC56" s="52"/>
      <c r="AD56" s="52"/>
      <c r="AE56" s="52"/>
    </row>
    <row r="57">
      <c r="A57" s="38">
        <v>45892.0</v>
      </c>
      <c r="B57" s="51">
        <v>80.0</v>
      </c>
      <c r="C57" s="52"/>
      <c r="D57" s="51">
        <v>53.0</v>
      </c>
      <c r="E57" s="52"/>
      <c r="F57" s="52"/>
      <c r="G57" s="52"/>
      <c r="H57" s="52"/>
      <c r="I57" s="52"/>
      <c r="J57" s="51">
        <v>91.0</v>
      </c>
      <c r="L57" s="51">
        <v>56.0</v>
      </c>
      <c r="M57" s="52"/>
      <c r="N57" s="52"/>
      <c r="O57" s="52"/>
      <c r="P57" s="52"/>
      <c r="Q57" s="51">
        <v>40.0</v>
      </c>
      <c r="R57" s="51">
        <v>220.0</v>
      </c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</row>
    <row r="58">
      <c r="A58" s="38">
        <v>45893.0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1">
        <v>742.0</v>
      </c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</row>
    <row r="59">
      <c r="A59" s="38">
        <v>45894.0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1">
        <v>89.0</v>
      </c>
      <c r="R59" s="51">
        <v>453.0</v>
      </c>
      <c r="S59" s="52"/>
      <c r="T59" s="51"/>
      <c r="U59" s="51">
        <v>237.0</v>
      </c>
      <c r="V59" s="52"/>
      <c r="W59" s="52"/>
      <c r="X59" s="52"/>
      <c r="Y59" s="52"/>
      <c r="Z59" s="52"/>
      <c r="AA59" s="52"/>
      <c r="AB59" s="52"/>
      <c r="AC59" s="52"/>
      <c r="AD59" s="52"/>
      <c r="AE59" s="52"/>
    </row>
    <row r="60">
      <c r="A60" s="38">
        <v>45895.0</v>
      </c>
      <c r="B60" s="52"/>
      <c r="C60" s="52"/>
      <c r="D60" s="52"/>
      <c r="E60" s="52"/>
      <c r="F60" s="52"/>
      <c r="G60" s="52"/>
      <c r="H60" s="52"/>
      <c r="I60" s="52"/>
      <c r="J60" s="51">
        <v>77.0</v>
      </c>
      <c r="K60" s="52"/>
      <c r="L60" s="52"/>
      <c r="M60" s="52"/>
      <c r="N60" s="52"/>
      <c r="O60" s="52"/>
      <c r="P60" s="52"/>
      <c r="Q60" s="51">
        <v>46.0</v>
      </c>
      <c r="R60" s="51">
        <v>575.0</v>
      </c>
      <c r="S60" s="51">
        <v>64.0</v>
      </c>
      <c r="T60" s="52"/>
      <c r="U60" s="52"/>
      <c r="V60" s="52"/>
      <c r="W60" s="51">
        <v>234.0</v>
      </c>
      <c r="X60" s="52"/>
      <c r="Y60" s="52"/>
      <c r="Z60" s="52"/>
      <c r="AA60" s="52"/>
      <c r="AB60" s="52"/>
      <c r="AC60" s="52"/>
      <c r="AD60" s="52"/>
      <c r="AE60" s="52"/>
    </row>
    <row r="61">
      <c r="A61" s="38">
        <v>45896.0</v>
      </c>
      <c r="B61" s="52"/>
      <c r="C61" s="51">
        <v>471.0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1">
        <v>71.0</v>
      </c>
      <c r="R61" s="51">
        <v>256.0</v>
      </c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</row>
    <row r="62">
      <c r="A62" s="38">
        <v>45897.0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1">
        <v>13.0</v>
      </c>
      <c r="R62" s="51">
        <v>458.0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</row>
    <row r="63">
      <c r="A63" s="38">
        <v>45898.0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1">
        <v>69.0</v>
      </c>
      <c r="R63" s="51">
        <v>503.0</v>
      </c>
      <c r="S63" s="52"/>
      <c r="T63" s="51"/>
      <c r="U63" s="51">
        <v>284.0</v>
      </c>
      <c r="V63" s="52"/>
      <c r="W63" s="52"/>
      <c r="X63" s="52"/>
      <c r="Y63" s="52"/>
      <c r="Z63" s="52"/>
      <c r="AA63" s="52"/>
      <c r="AB63" s="52"/>
      <c r="AC63" s="52"/>
      <c r="AD63" s="52"/>
      <c r="AE63" s="52"/>
    </row>
    <row r="64">
      <c r="A64" s="38">
        <v>45899.0</v>
      </c>
      <c r="B64" s="52"/>
      <c r="C64" s="52"/>
      <c r="D64" s="51">
        <v>23.0</v>
      </c>
      <c r="E64" s="52"/>
      <c r="F64" s="52"/>
      <c r="G64" s="52"/>
      <c r="H64" s="52"/>
      <c r="I64" s="52"/>
      <c r="J64" s="51">
        <v>45.0</v>
      </c>
      <c r="K64" s="52"/>
      <c r="L64" s="52"/>
      <c r="M64" s="52"/>
      <c r="N64" s="52"/>
      <c r="O64" s="52"/>
      <c r="P64" s="52"/>
      <c r="Q64" s="51">
        <v>225.0</v>
      </c>
      <c r="R64" s="51">
        <v>1000.0</v>
      </c>
      <c r="S64" s="52"/>
      <c r="T64" s="51">
        <v>96.0</v>
      </c>
      <c r="U64" s="51"/>
      <c r="V64" s="52"/>
      <c r="W64" s="51">
        <v>2800.0</v>
      </c>
      <c r="X64" s="52"/>
      <c r="Y64" s="52"/>
      <c r="Z64" s="52"/>
      <c r="AA64" s="52"/>
      <c r="AB64" s="52"/>
      <c r="AC64" s="52"/>
      <c r="AD64" s="52"/>
      <c r="AE64" s="52"/>
    </row>
    <row r="65">
      <c r="A65" s="38">
        <v>45901.0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1">
        <v>503.0</v>
      </c>
      <c r="R65" s="51">
        <v>1120.0</v>
      </c>
      <c r="S65" s="52"/>
      <c r="T65" s="51"/>
      <c r="U65" s="51">
        <v>140.0</v>
      </c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>
      <c r="A66" s="38">
        <v>45903.0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1">
        <v>378.0</v>
      </c>
      <c r="R66" s="51">
        <v>923.0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>
      <c r="A67" s="38">
        <v>45905.0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1">
        <v>678.0</v>
      </c>
      <c r="R67" s="51">
        <v>1511.0</v>
      </c>
      <c r="S67" s="51">
        <v>186.0</v>
      </c>
      <c r="T67" s="51"/>
      <c r="U67" s="51">
        <v>64.0</v>
      </c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>
      <c r="A68" s="38">
        <v>45907.0</v>
      </c>
      <c r="B68" s="52"/>
      <c r="C68" s="52"/>
      <c r="D68" s="52"/>
      <c r="E68" s="52"/>
      <c r="F68" s="52"/>
      <c r="G68" s="52"/>
      <c r="H68" s="52"/>
      <c r="I68" s="52"/>
      <c r="J68" s="51">
        <v>206.0</v>
      </c>
      <c r="K68" s="52"/>
      <c r="L68" s="51">
        <v>82.0</v>
      </c>
      <c r="M68" s="51"/>
      <c r="N68" s="51">
        <v>503.0</v>
      </c>
      <c r="O68" s="52"/>
      <c r="P68" s="52"/>
      <c r="Q68" s="51">
        <v>493.0</v>
      </c>
      <c r="R68" s="51">
        <v>2045.0</v>
      </c>
      <c r="S68" s="52"/>
      <c r="T68" s="52">
        <f>2195+713</f>
        <v>2908</v>
      </c>
      <c r="U68" s="51">
        <v>182.0</v>
      </c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>
      <c r="A69" s="38">
        <v>45909.0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1">
        <v>57.0</v>
      </c>
      <c r="N69" s="52"/>
      <c r="O69" s="52"/>
      <c r="P69" s="52"/>
      <c r="Q69" s="52"/>
      <c r="R69" s="51">
        <v>2071.0</v>
      </c>
      <c r="S69" s="52"/>
      <c r="T69" s="51">
        <v>2066.0</v>
      </c>
      <c r="U69" s="51">
        <v>491.0</v>
      </c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>
      <c r="A70" s="38">
        <v>45911.0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1">
        <v>177.0</v>
      </c>
      <c r="R70" s="51">
        <v>319.0</v>
      </c>
      <c r="S70" s="52"/>
      <c r="T70" s="51">
        <v>807.0</v>
      </c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>
      <c r="A71" s="38">
        <v>45912.0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1">
        <v>203.0</v>
      </c>
      <c r="R71" s="51">
        <v>1987.0</v>
      </c>
      <c r="S71" s="52"/>
      <c r="T71" s="51">
        <v>1358.0</v>
      </c>
      <c r="U71" s="51">
        <v>153.0</v>
      </c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2">
      <c r="A72" s="38">
        <v>45915.0</v>
      </c>
      <c r="B72" s="52"/>
      <c r="C72" s="52"/>
      <c r="D72" s="52"/>
      <c r="E72" s="52"/>
      <c r="F72" s="52"/>
      <c r="G72" s="52"/>
      <c r="H72" s="52"/>
      <c r="I72" s="52"/>
      <c r="J72" s="51">
        <v>15.0</v>
      </c>
      <c r="K72" s="51">
        <v>202.0</v>
      </c>
      <c r="L72" s="51">
        <v>175.0</v>
      </c>
      <c r="M72" s="51">
        <v>51.0</v>
      </c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</row>
    <row r="73">
      <c r="A73" s="38">
        <v>45918.0</v>
      </c>
      <c r="B73" s="52"/>
      <c r="C73" s="52"/>
      <c r="D73" s="52"/>
      <c r="E73" s="52"/>
      <c r="F73" s="52"/>
      <c r="G73" s="52"/>
      <c r="H73" s="52"/>
      <c r="I73" s="52"/>
      <c r="J73" s="51">
        <v>53.0</v>
      </c>
      <c r="K73" s="51">
        <v>108.0</v>
      </c>
      <c r="L73" s="51">
        <v>284.0</v>
      </c>
      <c r="M73" s="52"/>
      <c r="N73" s="52"/>
      <c r="O73" s="52"/>
      <c r="P73" s="52"/>
      <c r="Q73" s="51">
        <v>358.0</v>
      </c>
      <c r="R73" s="51">
        <v>1500.0</v>
      </c>
      <c r="S73" s="52"/>
      <c r="T73" s="51">
        <v>588.0</v>
      </c>
      <c r="U73" s="51">
        <v>217.0</v>
      </c>
      <c r="V73" s="52"/>
      <c r="W73" s="52"/>
      <c r="X73" s="52"/>
      <c r="Y73" s="52"/>
      <c r="Z73" s="52"/>
      <c r="AA73" s="52"/>
      <c r="AB73" s="52"/>
      <c r="AC73" s="52"/>
      <c r="AD73" s="52"/>
      <c r="AE73" s="52"/>
    </row>
    <row r="74">
      <c r="A74" s="38">
        <v>45920.0</v>
      </c>
      <c r="B74" s="52"/>
      <c r="C74" s="52"/>
      <c r="D74" s="52"/>
      <c r="E74" s="52"/>
      <c r="F74" s="52"/>
      <c r="G74" s="52"/>
      <c r="H74" s="52"/>
      <c r="I74" s="52"/>
      <c r="J74" s="51">
        <v>94.0</v>
      </c>
      <c r="K74" s="51">
        <v>100.0</v>
      </c>
      <c r="L74" s="51">
        <v>305.0</v>
      </c>
      <c r="M74" s="52"/>
      <c r="N74" s="52"/>
      <c r="O74" s="52"/>
      <c r="P74" s="52"/>
      <c r="Q74" s="51">
        <v>222.0</v>
      </c>
      <c r="R74" s="51">
        <v>933.0</v>
      </c>
      <c r="S74" s="52"/>
      <c r="T74" s="51">
        <v>147.0</v>
      </c>
      <c r="U74" s="51">
        <v>81.0</v>
      </c>
      <c r="V74" s="52"/>
      <c r="W74" s="52"/>
      <c r="X74" s="52"/>
      <c r="Y74" s="52"/>
      <c r="Z74" s="52"/>
      <c r="AA74" s="52"/>
      <c r="AB74" s="52"/>
      <c r="AC74" s="52"/>
      <c r="AD74" s="52"/>
      <c r="AE74" s="52"/>
    </row>
    <row r="75">
      <c r="A75" s="38">
        <v>45925.0</v>
      </c>
      <c r="B75" s="52"/>
      <c r="C75" s="52"/>
      <c r="D75" s="52"/>
      <c r="E75" s="52"/>
      <c r="F75" s="52"/>
      <c r="G75" s="52"/>
      <c r="H75" s="52"/>
      <c r="I75" s="52"/>
      <c r="J75" s="51">
        <v>358.0</v>
      </c>
      <c r="K75" s="51">
        <v>176.0</v>
      </c>
      <c r="L75" s="51">
        <v>188.0</v>
      </c>
      <c r="M75" s="51">
        <v>97.0</v>
      </c>
      <c r="N75" s="52"/>
      <c r="O75" s="52"/>
      <c r="P75" s="52"/>
      <c r="Q75" s="52">
        <f>507-457</f>
        <v>50</v>
      </c>
      <c r="R75" s="51">
        <v>304.0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</row>
    <row r="76">
      <c r="A76" s="4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</row>
    <row r="77">
      <c r="A77" s="4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</row>
    <row r="78">
      <c r="A78" s="4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</row>
    <row r="79">
      <c r="A79" s="4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</row>
    <row r="80">
      <c r="A80" s="4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</row>
    <row r="81">
      <c r="A81" s="4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</row>
    <row r="82">
      <c r="A82" s="4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</row>
    <row r="83">
      <c r="A83" s="4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</row>
    <row r="84">
      <c r="A84" s="4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</row>
    <row r="85">
      <c r="A85" s="4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</row>
    <row r="86">
      <c r="A86" s="4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</row>
    <row r="87">
      <c r="A87" s="4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</row>
    <row r="88">
      <c r="A88" s="4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</row>
    <row r="89">
      <c r="A89" s="4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</row>
    <row r="90">
      <c r="A90" s="4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</row>
    <row r="91">
      <c r="A91" s="4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</row>
    <row r="92">
      <c r="A92" s="4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</row>
    <row r="93">
      <c r="A93" s="4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</row>
    <row r="94">
      <c r="A94" s="4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</row>
    <row r="95">
      <c r="A95" s="4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</row>
    <row r="96">
      <c r="A96" s="4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</row>
    <row r="97">
      <c r="A97" s="4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</row>
    <row r="98">
      <c r="A98" s="4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</row>
    <row r="99">
      <c r="A99" s="4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</row>
    <row r="100">
      <c r="A100" s="4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</row>
    <row r="101">
      <c r="A101" s="4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</row>
    <row r="102">
      <c r="A102" s="4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</row>
    <row r="103">
      <c r="A103" s="4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</row>
    <row r="104">
      <c r="A104" s="4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</row>
    <row r="105">
      <c r="A105" s="4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</row>
    <row r="106">
      <c r="A106" s="4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</row>
    <row r="107">
      <c r="A107" s="41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</row>
    <row r="108">
      <c r="A108" s="41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</row>
    <row r="109">
      <c r="A109" s="41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</row>
    <row r="110">
      <c r="A110" s="41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</row>
    <row r="111">
      <c r="A111" s="4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</row>
    <row r="112">
      <c r="A112" s="41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</row>
    <row r="113">
      <c r="A113" s="41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</row>
    <row r="114">
      <c r="A114" s="41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</row>
    <row r="115">
      <c r="A115" s="41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</row>
    <row r="116">
      <c r="A116" s="4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</row>
    <row r="117">
      <c r="A117" s="41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</row>
    <row r="118">
      <c r="A118" s="41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</row>
    <row r="119">
      <c r="A119" s="4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</row>
    <row r="120">
      <c r="A120" s="41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</row>
    <row r="121">
      <c r="A121" s="41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</row>
    <row r="122">
      <c r="A122" s="41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</row>
    <row r="123">
      <c r="A123" s="41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</row>
    <row r="124">
      <c r="A124" s="41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</row>
    <row r="125">
      <c r="A125" s="4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</row>
    <row r="126">
      <c r="A126" s="41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</row>
    <row r="127">
      <c r="A127" s="41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</row>
    <row r="128">
      <c r="A128" s="41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</row>
    <row r="129">
      <c r="A129" s="41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</row>
    <row r="130">
      <c r="A130" s="41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</row>
    <row r="131">
      <c r="A131" s="4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</row>
    <row r="132">
      <c r="A132" s="41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</row>
    <row r="133">
      <c r="A133" s="41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</row>
    <row r="134">
      <c r="A134" s="41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</row>
    <row r="135">
      <c r="A135" s="41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</row>
    <row r="136">
      <c r="A136" s="41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</row>
    <row r="137">
      <c r="A137" s="4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</row>
    <row r="138">
      <c r="A138" s="41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</row>
    <row r="139">
      <c r="A139" s="41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</row>
    <row r="140">
      <c r="A140" s="41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</row>
    <row r="141">
      <c r="A141" s="41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</row>
    <row r="142">
      <c r="A142" s="41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</row>
    <row r="143">
      <c r="A143" s="41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</row>
    <row r="144">
      <c r="A144" s="41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</row>
    <row r="145">
      <c r="A145" s="41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</row>
    <row r="146">
      <c r="A146" s="41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</row>
    <row r="147">
      <c r="A147" s="41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</row>
    <row r="148">
      <c r="A148" s="41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</row>
    <row r="149">
      <c r="A149" s="41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</row>
    <row r="150">
      <c r="A150" s="41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</row>
    <row r="151">
      <c r="A151" s="41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</row>
    <row r="152">
      <c r="A152" s="41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</row>
    <row r="153">
      <c r="A153" s="41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</row>
    <row r="154">
      <c r="A154" s="41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</row>
    <row r="155">
      <c r="A155" s="41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</row>
    <row r="156">
      <c r="A156" s="41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</row>
    <row r="157">
      <c r="A157" s="41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</row>
    <row r="158">
      <c r="A158" s="41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</row>
    <row r="159">
      <c r="A159" s="41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</row>
    <row r="160">
      <c r="A160" s="41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</row>
    <row r="161">
      <c r="A161" s="41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</row>
    <row r="162">
      <c r="A162" s="41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</row>
    <row r="163">
      <c r="A163" s="41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</row>
    <row r="164">
      <c r="A164" s="41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</row>
    <row r="165">
      <c r="A165" s="41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</row>
    <row r="166">
      <c r="A166" s="41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</row>
    <row r="167">
      <c r="A167" s="41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</row>
    <row r="168">
      <c r="A168" s="41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</row>
    <row r="169">
      <c r="A169" s="41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</row>
    <row r="170">
      <c r="A170" s="41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</row>
    <row r="171">
      <c r="A171" s="41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</row>
    <row r="172">
      <c r="A172" s="41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</row>
    <row r="173">
      <c r="A173" s="41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</row>
    <row r="174">
      <c r="A174" s="41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</row>
    <row r="175">
      <c r="A175" s="41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</row>
    <row r="176">
      <c r="A176" s="41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</row>
    <row r="177">
      <c r="A177" s="41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</row>
    <row r="178">
      <c r="A178" s="41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</row>
    <row r="179">
      <c r="A179" s="41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</row>
    <row r="180">
      <c r="A180" s="41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</row>
    <row r="181">
      <c r="A181" s="41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</row>
    <row r="182">
      <c r="A182" s="41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</row>
    <row r="183">
      <c r="A183" s="41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</row>
    <row r="184">
      <c r="A184" s="41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</row>
    <row r="185">
      <c r="A185" s="41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</row>
    <row r="186">
      <c r="A186" s="41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</row>
    <row r="187">
      <c r="A187" s="41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</row>
    <row r="188">
      <c r="A188" s="41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</row>
    <row r="189">
      <c r="A189" s="41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</row>
    <row r="190">
      <c r="A190" s="41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</row>
    <row r="191">
      <c r="A191" s="41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</row>
    <row r="192">
      <c r="A192" s="41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</row>
    <row r="193">
      <c r="A193" s="41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</row>
    <row r="194">
      <c r="A194" s="41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</row>
    <row r="195">
      <c r="A195" s="41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</row>
    <row r="196">
      <c r="A196" s="41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</row>
    <row r="197">
      <c r="A197" s="41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</row>
    <row r="198">
      <c r="A198" s="41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</row>
    <row r="199">
      <c r="A199" s="41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</row>
    <row r="200">
      <c r="A200" s="41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</row>
    <row r="201">
      <c r="A201" s="41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</row>
    <row r="202">
      <c r="A202" s="41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</row>
    <row r="203">
      <c r="A203" s="41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</row>
    <row r="204">
      <c r="A204" s="41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</row>
    <row r="205">
      <c r="A205" s="41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</row>
    <row r="206">
      <c r="A206" s="41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</row>
    <row r="207">
      <c r="A207" s="41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</row>
    <row r="208">
      <c r="A208" s="41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</row>
    <row r="209">
      <c r="A209" s="41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</row>
    <row r="210">
      <c r="A210" s="41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</row>
    <row r="211">
      <c r="A211" s="41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</row>
    <row r="212">
      <c r="A212" s="41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</row>
    <row r="213">
      <c r="A213" s="41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</row>
    <row r="214">
      <c r="A214" s="41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</row>
    <row r="215">
      <c r="A215" s="41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</row>
    <row r="216">
      <c r="A216" s="41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</row>
    <row r="217">
      <c r="A217" s="41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</row>
    <row r="218">
      <c r="A218" s="41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</row>
    <row r="219">
      <c r="A219" s="41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</row>
    <row r="220">
      <c r="A220" s="41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</row>
    <row r="221">
      <c r="A221" s="41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</row>
    <row r="222">
      <c r="A222" s="41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</row>
    <row r="223">
      <c r="A223" s="41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</row>
    <row r="224">
      <c r="A224" s="41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</row>
    <row r="225">
      <c r="A225" s="41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</row>
    <row r="226">
      <c r="A226" s="41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</row>
    <row r="227">
      <c r="A227" s="41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</row>
    <row r="228">
      <c r="A228" s="41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</row>
    <row r="229">
      <c r="A229" s="41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</row>
    <row r="230">
      <c r="A230" s="41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</row>
    <row r="231">
      <c r="A231" s="41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</row>
    <row r="232">
      <c r="A232" s="41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</row>
    <row r="233">
      <c r="A233" s="41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</row>
    <row r="234">
      <c r="A234" s="41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</row>
    <row r="235">
      <c r="A235" s="41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</row>
    <row r="236">
      <c r="A236" s="41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</row>
    <row r="237">
      <c r="A237" s="41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</row>
    <row r="238">
      <c r="A238" s="41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</row>
    <row r="239">
      <c r="A239" s="41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</row>
    <row r="240">
      <c r="A240" s="41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</row>
    <row r="241">
      <c r="A241" s="41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</row>
    <row r="242">
      <c r="A242" s="41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</row>
    <row r="243">
      <c r="A243" s="41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</row>
    <row r="244">
      <c r="A244" s="41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</row>
    <row r="245">
      <c r="A245" s="41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</row>
    <row r="246">
      <c r="A246" s="41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</row>
    <row r="247">
      <c r="A247" s="41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</row>
    <row r="248">
      <c r="A248" s="41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</row>
    <row r="249">
      <c r="A249" s="41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</row>
    <row r="250">
      <c r="A250" s="41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</row>
    <row r="251">
      <c r="A251" s="41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</row>
    <row r="252">
      <c r="A252" s="41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</row>
    <row r="253">
      <c r="A253" s="41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</row>
    <row r="254">
      <c r="A254" s="41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</row>
    <row r="255">
      <c r="A255" s="41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</row>
    <row r="256">
      <c r="A256" s="41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</row>
    <row r="257">
      <c r="A257" s="41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</row>
    <row r="258">
      <c r="A258" s="41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</row>
    <row r="259">
      <c r="A259" s="41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</row>
    <row r="260">
      <c r="A260" s="41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</row>
    <row r="261">
      <c r="A261" s="41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</row>
    <row r="262">
      <c r="A262" s="41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</row>
    <row r="263">
      <c r="A263" s="41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</row>
    <row r="264">
      <c r="A264" s="41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</row>
    <row r="265">
      <c r="A265" s="41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</row>
    <row r="266">
      <c r="A266" s="41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</row>
    <row r="267">
      <c r="A267" s="41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</row>
    <row r="268">
      <c r="A268" s="41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</row>
    <row r="269">
      <c r="A269" s="41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</row>
    <row r="270">
      <c r="A270" s="41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</row>
    <row r="271">
      <c r="A271" s="41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</row>
    <row r="272">
      <c r="A272" s="41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</row>
    <row r="273">
      <c r="A273" s="41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</row>
    <row r="274">
      <c r="A274" s="41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</row>
    <row r="275">
      <c r="A275" s="41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</row>
    <row r="276">
      <c r="A276" s="41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</row>
    <row r="277">
      <c r="A277" s="41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</row>
    <row r="278">
      <c r="A278" s="41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</row>
    <row r="279">
      <c r="A279" s="41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</row>
    <row r="280">
      <c r="A280" s="41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</row>
    <row r="281">
      <c r="A281" s="41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</row>
    <row r="282">
      <c r="A282" s="41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</row>
    <row r="283">
      <c r="A283" s="41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</row>
    <row r="284">
      <c r="A284" s="41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</row>
    <row r="285">
      <c r="A285" s="41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</row>
    <row r="286">
      <c r="A286" s="41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</row>
    <row r="287">
      <c r="A287" s="41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</row>
    <row r="288">
      <c r="A288" s="41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</row>
    <row r="289">
      <c r="A289" s="41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</row>
    <row r="290">
      <c r="A290" s="41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</row>
    <row r="291">
      <c r="A291" s="41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</row>
    <row r="292">
      <c r="A292" s="41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</row>
    <row r="293">
      <c r="A293" s="41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</row>
    <row r="294">
      <c r="A294" s="41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</row>
    <row r="295">
      <c r="A295" s="41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</row>
    <row r="296">
      <c r="A296" s="41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</row>
    <row r="297">
      <c r="A297" s="41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</row>
    <row r="298">
      <c r="A298" s="41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</row>
    <row r="299">
      <c r="A299" s="41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</row>
    <row r="300">
      <c r="A300" s="41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</row>
    <row r="301">
      <c r="A301" s="41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</row>
    <row r="302">
      <c r="A302" s="41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</row>
    <row r="303">
      <c r="A303" s="41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</row>
    <row r="304">
      <c r="A304" s="41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</row>
    <row r="305">
      <c r="A305" s="41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</row>
    <row r="306">
      <c r="A306" s="41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</row>
    <row r="307">
      <c r="A307" s="41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</row>
    <row r="308">
      <c r="A308" s="41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</row>
    <row r="309">
      <c r="A309" s="41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</row>
    <row r="310">
      <c r="A310" s="41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</row>
    <row r="311">
      <c r="A311" s="41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</row>
    <row r="312">
      <c r="A312" s="41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</row>
    <row r="313">
      <c r="A313" s="41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</row>
    <row r="314">
      <c r="A314" s="41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</row>
    <row r="315">
      <c r="A315" s="41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</row>
    <row r="316">
      <c r="A316" s="41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</row>
    <row r="317">
      <c r="A317" s="41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</row>
    <row r="318">
      <c r="A318" s="41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</row>
    <row r="319">
      <c r="A319" s="41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</row>
    <row r="320">
      <c r="A320" s="41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</row>
    <row r="321">
      <c r="A321" s="41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</row>
    <row r="322">
      <c r="A322" s="41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</row>
    <row r="323">
      <c r="A323" s="41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</row>
    <row r="324">
      <c r="A324" s="41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</row>
    <row r="325">
      <c r="A325" s="41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</row>
    <row r="326">
      <c r="A326" s="41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</row>
    <row r="327">
      <c r="A327" s="41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</row>
    <row r="328">
      <c r="A328" s="41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</row>
    <row r="329">
      <c r="A329" s="41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</row>
    <row r="330">
      <c r="A330" s="41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</row>
    <row r="331">
      <c r="A331" s="41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</row>
    <row r="332">
      <c r="A332" s="41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</row>
    <row r="333">
      <c r="A333" s="41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</row>
    <row r="334">
      <c r="A334" s="41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</row>
    <row r="335">
      <c r="A335" s="41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</row>
    <row r="336">
      <c r="A336" s="41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</row>
    <row r="337">
      <c r="A337" s="41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</row>
    <row r="338">
      <c r="A338" s="41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</row>
    <row r="339">
      <c r="A339" s="41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</row>
    <row r="340">
      <c r="A340" s="41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</row>
    <row r="341">
      <c r="A341" s="41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</row>
    <row r="342">
      <c r="A342" s="41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</row>
    <row r="343">
      <c r="A343" s="41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</row>
    <row r="344">
      <c r="A344" s="41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</row>
    <row r="345">
      <c r="A345" s="41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</row>
    <row r="346">
      <c r="A346" s="41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</row>
    <row r="347">
      <c r="A347" s="41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</row>
    <row r="348">
      <c r="A348" s="41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</row>
    <row r="349">
      <c r="A349" s="41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</row>
    <row r="350">
      <c r="A350" s="41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</row>
    <row r="351">
      <c r="A351" s="41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</row>
    <row r="352">
      <c r="A352" s="41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</row>
    <row r="353">
      <c r="A353" s="41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</row>
    <row r="354">
      <c r="A354" s="41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</row>
    <row r="355">
      <c r="A355" s="41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</row>
    <row r="356">
      <c r="A356" s="4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</row>
    <row r="357">
      <c r="A357" s="4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</row>
    <row r="358">
      <c r="A358" s="4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</row>
    <row r="359">
      <c r="A359" s="4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</row>
    <row r="360">
      <c r="A360" s="4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</row>
    <row r="361">
      <c r="A361" s="4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</row>
    <row r="362">
      <c r="A362" s="4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</row>
    <row r="363">
      <c r="A363" s="4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</row>
    <row r="364">
      <c r="A364" s="4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</row>
    <row r="365">
      <c r="A365" s="4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</row>
    <row r="366">
      <c r="A366" s="4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</row>
    <row r="367">
      <c r="A367" s="4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</row>
    <row r="368">
      <c r="A368" s="4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</row>
    <row r="369">
      <c r="A369" s="4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</row>
    <row r="370">
      <c r="A370" s="4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</row>
    <row r="371">
      <c r="A371" s="4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</row>
    <row r="372">
      <c r="A372" s="4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</row>
    <row r="373">
      <c r="A373" s="4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</row>
    <row r="374">
      <c r="A374" s="4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</row>
    <row r="375">
      <c r="A375" s="4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</row>
    <row r="376">
      <c r="A376" s="4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</row>
    <row r="377">
      <c r="A377" s="4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</row>
    <row r="378">
      <c r="A378" s="4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</row>
    <row r="379">
      <c r="A379" s="4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</row>
    <row r="380">
      <c r="A380" s="4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</row>
    <row r="381">
      <c r="A381" s="4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</row>
    <row r="382">
      <c r="A382" s="4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</row>
    <row r="383">
      <c r="A383" s="4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</row>
    <row r="384">
      <c r="A384" s="4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</row>
    <row r="385">
      <c r="A385" s="4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</row>
    <row r="386">
      <c r="A386" s="4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</row>
    <row r="387">
      <c r="A387" s="4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</row>
    <row r="388">
      <c r="A388" s="4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</row>
    <row r="389">
      <c r="A389" s="4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</row>
    <row r="390">
      <c r="A390" s="4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</row>
    <row r="391">
      <c r="A391" s="4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</row>
    <row r="392">
      <c r="A392" s="4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</row>
    <row r="393">
      <c r="A393" s="4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</row>
    <row r="394">
      <c r="A394" s="4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</row>
    <row r="395">
      <c r="A395" s="4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</row>
    <row r="396">
      <c r="A396" s="4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</row>
    <row r="397">
      <c r="A397" s="4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</row>
    <row r="398">
      <c r="A398" s="4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</row>
    <row r="399">
      <c r="A399" s="4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</row>
    <row r="400">
      <c r="A400" s="4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</row>
    <row r="401">
      <c r="A401" s="4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</row>
    <row r="402">
      <c r="A402" s="4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</row>
    <row r="403">
      <c r="A403" s="4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</row>
    <row r="404">
      <c r="A404" s="4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</row>
    <row r="405">
      <c r="A405" s="4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</row>
    <row r="406">
      <c r="A406" s="4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</row>
    <row r="407">
      <c r="A407" s="4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</row>
    <row r="408">
      <c r="A408" s="4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</row>
    <row r="409">
      <c r="A409" s="4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</row>
    <row r="410">
      <c r="A410" s="4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</row>
    <row r="411">
      <c r="A411" s="4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</row>
    <row r="412">
      <c r="A412" s="4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</row>
    <row r="413">
      <c r="A413" s="4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</row>
    <row r="414">
      <c r="A414" s="4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</row>
    <row r="415">
      <c r="A415" s="4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</row>
    <row r="416">
      <c r="A416" s="4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</row>
    <row r="417">
      <c r="A417" s="4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</row>
    <row r="418">
      <c r="A418" s="4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</row>
    <row r="419">
      <c r="A419" s="4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</row>
    <row r="420">
      <c r="A420" s="4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</row>
    <row r="421">
      <c r="A421" s="4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</row>
    <row r="422">
      <c r="A422" s="4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</row>
    <row r="423">
      <c r="A423" s="4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</row>
    <row r="424">
      <c r="A424" s="4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</row>
    <row r="425">
      <c r="A425" s="4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</row>
    <row r="426">
      <c r="A426" s="4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</row>
    <row r="427">
      <c r="A427" s="4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</row>
    <row r="428">
      <c r="A428" s="4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</row>
    <row r="429">
      <c r="A429" s="4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</row>
    <row r="430">
      <c r="A430" s="4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</row>
    <row r="431">
      <c r="A431" s="4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</row>
    <row r="432">
      <c r="A432" s="4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</row>
    <row r="433">
      <c r="A433" s="4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</row>
    <row r="434">
      <c r="A434" s="4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</row>
    <row r="435">
      <c r="A435" s="4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</row>
    <row r="436">
      <c r="A436" s="4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</row>
    <row r="437">
      <c r="A437" s="4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</row>
    <row r="438">
      <c r="A438" s="4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</row>
    <row r="439">
      <c r="A439" s="4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</row>
    <row r="440">
      <c r="A440" s="4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</row>
    <row r="441">
      <c r="A441" s="4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</row>
    <row r="442">
      <c r="A442" s="4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</row>
    <row r="443">
      <c r="A443" s="4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</row>
    <row r="444">
      <c r="A444" s="4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</row>
    <row r="445">
      <c r="A445" s="4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</row>
    <row r="446">
      <c r="A446" s="4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</row>
    <row r="447">
      <c r="A447" s="4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</row>
    <row r="448">
      <c r="A448" s="4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</row>
    <row r="449">
      <c r="A449" s="4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</row>
    <row r="450">
      <c r="A450" s="4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</row>
    <row r="451">
      <c r="A451" s="4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</row>
    <row r="452">
      <c r="A452" s="4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</row>
    <row r="453">
      <c r="A453" s="4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</row>
    <row r="454">
      <c r="A454" s="4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</row>
    <row r="455">
      <c r="A455" s="4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</row>
    <row r="456">
      <c r="A456" s="4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</row>
    <row r="457">
      <c r="A457" s="4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</row>
    <row r="458">
      <c r="A458" s="4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</row>
    <row r="459">
      <c r="A459" s="4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</row>
    <row r="460">
      <c r="A460" s="4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</row>
    <row r="461">
      <c r="A461" s="4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</row>
    <row r="462">
      <c r="A462" s="4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</row>
    <row r="463">
      <c r="A463" s="4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</row>
    <row r="464">
      <c r="A464" s="4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</row>
    <row r="465">
      <c r="A465" s="4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</row>
    <row r="466">
      <c r="A466" s="4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</row>
    <row r="467">
      <c r="A467" s="4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</row>
    <row r="468">
      <c r="A468" s="4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</row>
    <row r="469">
      <c r="A469" s="4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</row>
    <row r="470">
      <c r="A470" s="4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</row>
    <row r="471">
      <c r="A471" s="4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</row>
    <row r="472">
      <c r="A472" s="4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</row>
    <row r="473">
      <c r="A473" s="4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</row>
    <row r="474">
      <c r="A474" s="4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</row>
    <row r="475">
      <c r="A475" s="4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</row>
    <row r="476">
      <c r="A476" s="4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</row>
    <row r="477">
      <c r="A477" s="4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</row>
    <row r="478">
      <c r="A478" s="4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</row>
    <row r="479">
      <c r="A479" s="4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</row>
    <row r="480">
      <c r="A480" s="4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</row>
    <row r="481">
      <c r="A481" s="4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</row>
    <row r="482">
      <c r="A482" s="4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</row>
    <row r="483">
      <c r="A483" s="4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</row>
    <row r="484">
      <c r="A484" s="4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</row>
    <row r="485">
      <c r="A485" s="4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</row>
    <row r="486">
      <c r="A486" s="4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</row>
    <row r="487">
      <c r="A487" s="4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</row>
    <row r="488">
      <c r="A488" s="4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</row>
    <row r="489">
      <c r="A489" s="4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</row>
    <row r="490">
      <c r="A490" s="4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</row>
    <row r="491">
      <c r="A491" s="4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</row>
    <row r="492">
      <c r="A492" s="4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</row>
    <row r="493">
      <c r="A493" s="4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</row>
    <row r="494">
      <c r="A494" s="4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</row>
    <row r="495">
      <c r="A495" s="4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</row>
    <row r="496">
      <c r="A496" s="4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</row>
    <row r="497">
      <c r="A497" s="4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</row>
    <row r="498">
      <c r="A498" s="4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</row>
    <row r="499">
      <c r="A499" s="4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</row>
    <row r="500">
      <c r="A500" s="4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</row>
    <row r="501">
      <c r="A501" s="4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</row>
    <row r="502">
      <c r="A502" s="4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</row>
    <row r="503">
      <c r="A503" s="4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</row>
    <row r="504">
      <c r="A504" s="4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</row>
    <row r="505">
      <c r="A505" s="4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</row>
    <row r="506">
      <c r="A506" s="4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</row>
    <row r="507">
      <c r="A507" s="4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</row>
    <row r="508">
      <c r="A508" s="4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</row>
    <row r="509">
      <c r="A509" s="4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</row>
    <row r="510">
      <c r="A510" s="4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</row>
    <row r="511">
      <c r="A511" s="4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</row>
    <row r="512">
      <c r="A512" s="4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</row>
    <row r="513">
      <c r="A513" s="4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</row>
    <row r="514">
      <c r="A514" s="4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</row>
    <row r="515">
      <c r="A515" s="4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</row>
    <row r="516">
      <c r="A516" s="4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</row>
    <row r="517">
      <c r="A517" s="4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</row>
    <row r="518">
      <c r="A518" s="4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</row>
    <row r="519">
      <c r="A519" s="4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</row>
    <row r="520">
      <c r="A520" s="4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</row>
    <row r="521">
      <c r="A521" s="4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</row>
    <row r="522">
      <c r="A522" s="4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</row>
    <row r="523">
      <c r="A523" s="4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</row>
    <row r="524">
      <c r="A524" s="4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</row>
    <row r="525">
      <c r="A525" s="4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</row>
    <row r="526">
      <c r="A526" s="4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</row>
    <row r="527">
      <c r="A527" s="4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</row>
    <row r="528">
      <c r="A528" s="4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</row>
    <row r="529">
      <c r="A529" s="4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</row>
    <row r="530">
      <c r="A530" s="4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</row>
    <row r="531">
      <c r="A531" s="4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</row>
    <row r="532">
      <c r="A532" s="4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</row>
    <row r="533">
      <c r="A533" s="4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</row>
    <row r="534">
      <c r="A534" s="4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</row>
    <row r="535">
      <c r="A535" s="4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</row>
    <row r="536">
      <c r="A536" s="4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</row>
    <row r="537">
      <c r="A537" s="4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</row>
    <row r="538">
      <c r="A538" s="4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</row>
    <row r="539">
      <c r="A539" s="4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</row>
    <row r="540">
      <c r="A540" s="4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</row>
    <row r="541">
      <c r="A541" s="4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</row>
    <row r="542">
      <c r="A542" s="4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</row>
    <row r="543">
      <c r="A543" s="4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</row>
    <row r="544">
      <c r="A544" s="4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</row>
    <row r="545">
      <c r="A545" s="4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</row>
    <row r="546">
      <c r="A546" s="4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</row>
    <row r="547">
      <c r="A547" s="4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</row>
    <row r="548">
      <c r="A548" s="4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</row>
    <row r="549">
      <c r="A549" s="4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</row>
    <row r="550">
      <c r="A550" s="4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</row>
    <row r="551">
      <c r="A551" s="4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</row>
    <row r="552">
      <c r="A552" s="4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</row>
    <row r="553">
      <c r="A553" s="4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</row>
    <row r="554">
      <c r="A554" s="4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</row>
    <row r="555">
      <c r="A555" s="4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</row>
    <row r="556">
      <c r="A556" s="4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</row>
    <row r="557">
      <c r="A557" s="4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</row>
    <row r="558">
      <c r="A558" s="4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</row>
    <row r="559">
      <c r="A559" s="4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</row>
    <row r="560">
      <c r="A560" s="4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</row>
    <row r="561">
      <c r="A561" s="4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</row>
    <row r="562">
      <c r="A562" s="4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</row>
    <row r="563">
      <c r="A563" s="4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</row>
    <row r="564">
      <c r="A564" s="4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</row>
    <row r="565">
      <c r="A565" s="4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</row>
    <row r="566">
      <c r="A566" s="4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</row>
    <row r="567">
      <c r="A567" s="4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</row>
    <row r="568">
      <c r="A568" s="4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</row>
    <row r="569">
      <c r="A569" s="4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</row>
    <row r="570">
      <c r="A570" s="4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</row>
    <row r="571">
      <c r="A571" s="4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</row>
    <row r="572">
      <c r="A572" s="4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</row>
    <row r="573">
      <c r="A573" s="4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</row>
    <row r="574">
      <c r="A574" s="4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</row>
    <row r="575">
      <c r="A575" s="4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</row>
    <row r="576">
      <c r="A576" s="4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</row>
    <row r="577">
      <c r="A577" s="4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</row>
    <row r="578">
      <c r="A578" s="4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</row>
    <row r="579">
      <c r="A579" s="4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</row>
    <row r="580">
      <c r="A580" s="4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</row>
    <row r="581">
      <c r="A581" s="4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</row>
    <row r="582">
      <c r="A582" s="4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</row>
    <row r="583">
      <c r="A583" s="4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</row>
    <row r="584">
      <c r="A584" s="4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</row>
    <row r="585">
      <c r="A585" s="4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</row>
    <row r="586">
      <c r="A586" s="4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</row>
    <row r="587">
      <c r="A587" s="4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</row>
    <row r="588">
      <c r="A588" s="4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</row>
    <row r="589">
      <c r="A589" s="4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</row>
    <row r="590">
      <c r="A590" s="4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</row>
    <row r="591">
      <c r="A591" s="4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</row>
    <row r="592">
      <c r="A592" s="4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</row>
    <row r="593">
      <c r="A593" s="4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</row>
    <row r="594">
      <c r="A594" s="4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</row>
    <row r="595">
      <c r="A595" s="4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</row>
    <row r="596">
      <c r="A596" s="4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</row>
    <row r="597">
      <c r="A597" s="4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</row>
    <row r="598">
      <c r="A598" s="4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</row>
    <row r="599">
      <c r="A599" s="4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</row>
    <row r="600">
      <c r="A600" s="4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</row>
    <row r="601">
      <c r="A601" s="4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</row>
    <row r="602">
      <c r="A602" s="4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</row>
    <row r="603">
      <c r="A603" s="4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</row>
    <row r="604">
      <c r="A604" s="4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</row>
    <row r="605">
      <c r="A605" s="4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</row>
    <row r="606">
      <c r="A606" s="4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</row>
    <row r="607">
      <c r="A607" s="4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</row>
    <row r="608">
      <c r="A608" s="4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</row>
    <row r="609">
      <c r="A609" s="4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</row>
    <row r="610">
      <c r="A610" s="4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</row>
    <row r="611">
      <c r="A611" s="4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</row>
    <row r="612">
      <c r="A612" s="4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</row>
    <row r="613">
      <c r="A613" s="4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</row>
    <row r="614">
      <c r="A614" s="4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</row>
    <row r="615">
      <c r="A615" s="4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</row>
    <row r="616">
      <c r="A616" s="4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</row>
    <row r="617">
      <c r="A617" s="4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</row>
    <row r="618">
      <c r="A618" s="4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</row>
    <row r="619">
      <c r="A619" s="4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</row>
    <row r="620">
      <c r="A620" s="4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</row>
    <row r="621">
      <c r="A621" s="4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</row>
    <row r="622">
      <c r="A622" s="4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</row>
    <row r="623">
      <c r="A623" s="4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</row>
    <row r="624">
      <c r="A624" s="4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</row>
    <row r="625">
      <c r="A625" s="4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</row>
    <row r="626">
      <c r="A626" s="4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</row>
    <row r="627">
      <c r="A627" s="4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</row>
    <row r="628">
      <c r="A628" s="4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</row>
    <row r="629">
      <c r="A629" s="4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</row>
    <row r="630">
      <c r="A630" s="4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</row>
    <row r="631">
      <c r="A631" s="4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</row>
    <row r="632">
      <c r="A632" s="4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</row>
    <row r="633">
      <c r="A633" s="4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</row>
    <row r="634">
      <c r="A634" s="4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</row>
    <row r="635">
      <c r="A635" s="4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</row>
    <row r="636">
      <c r="A636" s="4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</row>
    <row r="637">
      <c r="A637" s="4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</row>
    <row r="638">
      <c r="A638" s="4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</row>
    <row r="639">
      <c r="A639" s="4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</row>
    <row r="640">
      <c r="A640" s="4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</row>
    <row r="641">
      <c r="A641" s="4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</row>
    <row r="642">
      <c r="A642" s="4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</row>
    <row r="643">
      <c r="A643" s="4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</row>
    <row r="644">
      <c r="A644" s="4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</row>
    <row r="645">
      <c r="A645" s="4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</row>
    <row r="646">
      <c r="A646" s="4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</row>
    <row r="647">
      <c r="A647" s="4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</row>
    <row r="648">
      <c r="A648" s="4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</row>
    <row r="649">
      <c r="A649" s="4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</row>
    <row r="650">
      <c r="A650" s="4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</row>
    <row r="651">
      <c r="A651" s="4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</row>
    <row r="652">
      <c r="A652" s="4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</row>
    <row r="653">
      <c r="A653" s="4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</row>
    <row r="654">
      <c r="A654" s="4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</row>
    <row r="655">
      <c r="A655" s="4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</row>
    <row r="656">
      <c r="A656" s="4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</row>
    <row r="657">
      <c r="A657" s="4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</row>
    <row r="658">
      <c r="A658" s="4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</row>
    <row r="659">
      <c r="A659" s="4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</row>
    <row r="660">
      <c r="A660" s="4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</row>
    <row r="661">
      <c r="A661" s="4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</row>
    <row r="662">
      <c r="A662" s="4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</row>
    <row r="663">
      <c r="A663" s="4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</row>
    <row r="664">
      <c r="A664" s="4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</row>
    <row r="665">
      <c r="A665" s="4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</row>
    <row r="666">
      <c r="A666" s="4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</row>
    <row r="667">
      <c r="A667" s="4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</row>
    <row r="668">
      <c r="A668" s="4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</row>
    <row r="669">
      <c r="A669" s="4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</row>
    <row r="670">
      <c r="A670" s="4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</row>
    <row r="671">
      <c r="A671" s="4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</row>
    <row r="672">
      <c r="A672" s="4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</row>
    <row r="673">
      <c r="A673" s="4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</row>
    <row r="674">
      <c r="A674" s="4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</row>
    <row r="675">
      <c r="A675" s="4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</row>
    <row r="676">
      <c r="A676" s="4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</row>
    <row r="677">
      <c r="A677" s="4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</row>
    <row r="678">
      <c r="A678" s="4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</row>
    <row r="679">
      <c r="A679" s="4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</row>
    <row r="680">
      <c r="A680" s="4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</row>
    <row r="681">
      <c r="A681" s="4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</row>
    <row r="682">
      <c r="A682" s="4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</row>
    <row r="683">
      <c r="A683" s="4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</row>
    <row r="684">
      <c r="A684" s="4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</row>
    <row r="685">
      <c r="A685" s="4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</row>
    <row r="686">
      <c r="A686" s="4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</row>
    <row r="687">
      <c r="A687" s="4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</row>
    <row r="688">
      <c r="A688" s="4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</row>
    <row r="689">
      <c r="A689" s="4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</row>
    <row r="690">
      <c r="A690" s="4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</row>
    <row r="691">
      <c r="A691" s="4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</row>
    <row r="692">
      <c r="A692" s="4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</row>
    <row r="693">
      <c r="A693" s="4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</row>
    <row r="694">
      <c r="A694" s="4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</row>
    <row r="695">
      <c r="A695" s="4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</row>
    <row r="696">
      <c r="A696" s="4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</row>
    <row r="697">
      <c r="A697" s="4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</row>
    <row r="698">
      <c r="A698" s="4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</row>
    <row r="699">
      <c r="A699" s="4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</row>
    <row r="700">
      <c r="A700" s="4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</row>
    <row r="701">
      <c r="A701" s="4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</row>
    <row r="702">
      <c r="A702" s="4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</row>
    <row r="703">
      <c r="A703" s="4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</row>
    <row r="704">
      <c r="A704" s="4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</row>
    <row r="705">
      <c r="A705" s="4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</row>
    <row r="706">
      <c r="A706" s="4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</row>
    <row r="707">
      <c r="A707" s="4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</row>
    <row r="708">
      <c r="A708" s="4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</row>
    <row r="709">
      <c r="A709" s="4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</row>
    <row r="710">
      <c r="A710" s="4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</row>
    <row r="711">
      <c r="A711" s="4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</row>
    <row r="712">
      <c r="A712" s="4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</row>
    <row r="713">
      <c r="A713" s="4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</row>
    <row r="714">
      <c r="A714" s="4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</row>
    <row r="715">
      <c r="A715" s="4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</row>
    <row r="716">
      <c r="A716" s="4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</row>
    <row r="717">
      <c r="A717" s="4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</row>
    <row r="718">
      <c r="A718" s="4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</row>
    <row r="719">
      <c r="A719" s="4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</row>
    <row r="720">
      <c r="A720" s="4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</row>
    <row r="721">
      <c r="A721" s="4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</row>
    <row r="722">
      <c r="A722" s="4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</row>
    <row r="723">
      <c r="A723" s="4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</row>
    <row r="724">
      <c r="A724" s="4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</row>
    <row r="725">
      <c r="A725" s="4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</row>
    <row r="726">
      <c r="A726" s="4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</row>
    <row r="727">
      <c r="A727" s="4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</row>
    <row r="728">
      <c r="A728" s="4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</row>
    <row r="729">
      <c r="A729" s="4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</row>
    <row r="730">
      <c r="A730" s="4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</row>
    <row r="731">
      <c r="A731" s="4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</row>
    <row r="732">
      <c r="A732" s="4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</row>
    <row r="733">
      <c r="A733" s="4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</row>
    <row r="734">
      <c r="A734" s="4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</row>
    <row r="735">
      <c r="A735" s="4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</row>
    <row r="736">
      <c r="A736" s="4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</row>
    <row r="737">
      <c r="A737" s="4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</row>
    <row r="738">
      <c r="A738" s="4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</row>
    <row r="739">
      <c r="A739" s="4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</row>
    <row r="740">
      <c r="A740" s="4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</row>
    <row r="741">
      <c r="A741" s="4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</row>
    <row r="742">
      <c r="A742" s="4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</row>
    <row r="743">
      <c r="A743" s="4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</row>
    <row r="744">
      <c r="A744" s="4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</row>
    <row r="745">
      <c r="A745" s="4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</row>
    <row r="746">
      <c r="A746" s="4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</row>
    <row r="747">
      <c r="A747" s="4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</row>
    <row r="748">
      <c r="A748" s="4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</row>
    <row r="749">
      <c r="A749" s="4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</row>
    <row r="750">
      <c r="A750" s="4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</row>
    <row r="751">
      <c r="A751" s="4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</row>
    <row r="752">
      <c r="A752" s="4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</row>
    <row r="753">
      <c r="A753" s="4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</row>
    <row r="754">
      <c r="A754" s="4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</row>
    <row r="755">
      <c r="A755" s="4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</row>
    <row r="756">
      <c r="A756" s="4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</row>
    <row r="757">
      <c r="A757" s="4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</row>
    <row r="758">
      <c r="A758" s="4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</row>
    <row r="759">
      <c r="A759" s="4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</row>
    <row r="760">
      <c r="A760" s="4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</row>
    <row r="761">
      <c r="A761" s="4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</row>
    <row r="762">
      <c r="A762" s="4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</row>
    <row r="763">
      <c r="A763" s="4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</row>
    <row r="764">
      <c r="A764" s="4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</row>
    <row r="765">
      <c r="A765" s="4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</row>
    <row r="766">
      <c r="A766" s="4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</row>
    <row r="767">
      <c r="A767" s="4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</row>
    <row r="768">
      <c r="A768" s="4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</row>
    <row r="769">
      <c r="A769" s="4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</row>
    <row r="770">
      <c r="A770" s="4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</row>
    <row r="771">
      <c r="A771" s="4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</row>
    <row r="772">
      <c r="A772" s="4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</row>
    <row r="773">
      <c r="A773" s="4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</row>
    <row r="774">
      <c r="A774" s="4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</row>
    <row r="775">
      <c r="A775" s="4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</row>
    <row r="776">
      <c r="A776" s="4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</row>
    <row r="777">
      <c r="A777" s="4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</row>
    <row r="778">
      <c r="A778" s="4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</row>
    <row r="779">
      <c r="A779" s="4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</row>
    <row r="780">
      <c r="A780" s="4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</row>
    <row r="781">
      <c r="A781" s="4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</row>
    <row r="782">
      <c r="A782" s="4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</row>
    <row r="783">
      <c r="A783" s="4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</row>
    <row r="784">
      <c r="A784" s="4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</row>
    <row r="785">
      <c r="A785" s="4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</row>
    <row r="786">
      <c r="A786" s="4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</row>
    <row r="787">
      <c r="A787" s="4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</row>
    <row r="788">
      <c r="A788" s="4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</row>
    <row r="789">
      <c r="A789" s="4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</row>
    <row r="790">
      <c r="A790" s="4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</row>
    <row r="791">
      <c r="A791" s="4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</row>
    <row r="792">
      <c r="A792" s="4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</row>
    <row r="793">
      <c r="A793" s="4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</row>
    <row r="794">
      <c r="A794" s="4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</row>
    <row r="795">
      <c r="A795" s="4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</row>
    <row r="796">
      <c r="A796" s="4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</row>
    <row r="797">
      <c r="A797" s="4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</row>
    <row r="798">
      <c r="A798" s="4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</row>
    <row r="799">
      <c r="A799" s="4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</row>
    <row r="800">
      <c r="A800" s="4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</row>
    <row r="801">
      <c r="A801" s="4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</row>
    <row r="802">
      <c r="A802" s="4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</row>
    <row r="803">
      <c r="A803" s="4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</row>
    <row r="804">
      <c r="A804" s="4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</row>
    <row r="805">
      <c r="A805" s="4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</row>
    <row r="806">
      <c r="A806" s="4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</row>
    <row r="807">
      <c r="A807" s="4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</row>
    <row r="808">
      <c r="A808" s="4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</row>
    <row r="809">
      <c r="A809" s="4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</row>
    <row r="810">
      <c r="A810" s="4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</row>
    <row r="811">
      <c r="A811" s="4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</row>
    <row r="812">
      <c r="A812" s="4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</row>
    <row r="813">
      <c r="A813" s="4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</row>
    <row r="814">
      <c r="A814" s="4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</row>
    <row r="815">
      <c r="A815" s="4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</row>
    <row r="816">
      <c r="A816" s="4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</row>
    <row r="817">
      <c r="A817" s="4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</row>
    <row r="818">
      <c r="A818" s="4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</row>
    <row r="819">
      <c r="A819" s="4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</row>
    <row r="820">
      <c r="A820" s="4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</row>
    <row r="821">
      <c r="A821" s="4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</row>
    <row r="822">
      <c r="A822" s="4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</row>
    <row r="823">
      <c r="A823" s="4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</row>
    <row r="824">
      <c r="A824" s="4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</row>
    <row r="825">
      <c r="A825" s="4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</row>
    <row r="826">
      <c r="A826" s="4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</row>
    <row r="827">
      <c r="A827" s="4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</row>
    <row r="828">
      <c r="A828" s="4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</row>
    <row r="829">
      <c r="A829" s="4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</row>
    <row r="830">
      <c r="A830" s="4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</row>
    <row r="831">
      <c r="A831" s="4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</row>
    <row r="832">
      <c r="A832" s="4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</row>
    <row r="833">
      <c r="A833" s="4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</row>
    <row r="834">
      <c r="A834" s="4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</row>
    <row r="835">
      <c r="A835" s="4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</row>
    <row r="836">
      <c r="A836" s="4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</row>
    <row r="837">
      <c r="A837" s="4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</row>
    <row r="838">
      <c r="A838" s="4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</row>
    <row r="839">
      <c r="A839" s="4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</row>
    <row r="840">
      <c r="A840" s="4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</row>
    <row r="841">
      <c r="A841" s="4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</row>
    <row r="842">
      <c r="A842" s="4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</row>
    <row r="843">
      <c r="A843" s="4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</row>
    <row r="844">
      <c r="A844" s="4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</row>
    <row r="845">
      <c r="A845" s="4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</row>
    <row r="846">
      <c r="A846" s="4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</row>
    <row r="847">
      <c r="A847" s="4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</row>
    <row r="848">
      <c r="A848" s="4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</row>
    <row r="849">
      <c r="A849" s="4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</row>
    <row r="850">
      <c r="A850" s="4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</row>
    <row r="851">
      <c r="A851" s="4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</row>
    <row r="852">
      <c r="A852" s="4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</row>
    <row r="853">
      <c r="A853" s="4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</row>
    <row r="854">
      <c r="A854" s="4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</row>
    <row r="855">
      <c r="A855" s="4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</row>
    <row r="856">
      <c r="A856" s="4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</row>
    <row r="857">
      <c r="A857" s="4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</row>
    <row r="858">
      <c r="A858" s="4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</row>
    <row r="859">
      <c r="A859" s="4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</row>
    <row r="860">
      <c r="A860" s="4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</row>
    <row r="861">
      <c r="A861" s="4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</row>
    <row r="862">
      <c r="A862" s="4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</row>
    <row r="863">
      <c r="A863" s="4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</row>
    <row r="864">
      <c r="A864" s="4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</row>
    <row r="865">
      <c r="A865" s="4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</row>
    <row r="866">
      <c r="A866" s="4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</row>
    <row r="867">
      <c r="A867" s="4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</row>
    <row r="868">
      <c r="A868" s="4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</row>
    <row r="869">
      <c r="A869" s="4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</row>
    <row r="870">
      <c r="A870" s="4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</row>
    <row r="871">
      <c r="A871" s="4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</row>
    <row r="872">
      <c r="A872" s="4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</row>
    <row r="873">
      <c r="A873" s="4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</row>
    <row r="874">
      <c r="A874" s="4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</row>
    <row r="875">
      <c r="A875" s="4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</row>
    <row r="876">
      <c r="A876" s="4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</row>
    <row r="877">
      <c r="A877" s="4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</row>
    <row r="878">
      <c r="A878" s="4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</row>
    <row r="879">
      <c r="A879" s="4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</row>
    <row r="880">
      <c r="A880" s="4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</row>
    <row r="881">
      <c r="A881" s="4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</row>
    <row r="882">
      <c r="A882" s="4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</row>
    <row r="883">
      <c r="A883" s="4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</row>
    <row r="884">
      <c r="A884" s="4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</row>
    <row r="885">
      <c r="A885" s="4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</row>
    <row r="886">
      <c r="A886" s="4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</row>
    <row r="887">
      <c r="A887" s="4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</row>
    <row r="888">
      <c r="A888" s="4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</row>
    <row r="889">
      <c r="A889" s="4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</row>
    <row r="890">
      <c r="A890" s="4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</row>
    <row r="891">
      <c r="A891" s="4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</row>
    <row r="892">
      <c r="A892" s="4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</row>
    <row r="893">
      <c r="A893" s="4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</row>
    <row r="894">
      <c r="A894" s="4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</row>
    <row r="895">
      <c r="A895" s="4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</row>
    <row r="896">
      <c r="A896" s="4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</row>
    <row r="897">
      <c r="A897" s="4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</row>
    <row r="898">
      <c r="A898" s="4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</row>
    <row r="899">
      <c r="A899" s="4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</row>
    <row r="900">
      <c r="A900" s="4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</row>
    <row r="901">
      <c r="A901" s="4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</row>
    <row r="902">
      <c r="A902" s="4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</row>
    <row r="903">
      <c r="A903" s="4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</row>
    <row r="904">
      <c r="A904" s="4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</row>
    <row r="905">
      <c r="A905" s="4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</row>
    <row r="906">
      <c r="A906" s="4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</row>
    <row r="907">
      <c r="A907" s="4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</row>
    <row r="908">
      <c r="A908" s="4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</row>
    <row r="909">
      <c r="A909" s="4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</row>
    <row r="910">
      <c r="A910" s="4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</row>
    <row r="911">
      <c r="A911" s="4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</row>
    <row r="912">
      <c r="A912" s="4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</row>
    <row r="913">
      <c r="A913" s="4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</row>
    <row r="914">
      <c r="A914" s="4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</row>
    <row r="915">
      <c r="A915" s="4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</row>
    <row r="916">
      <c r="A916" s="4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</row>
    <row r="917">
      <c r="A917" s="4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</row>
    <row r="918">
      <c r="A918" s="4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</row>
    <row r="919">
      <c r="A919" s="4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</row>
    <row r="920">
      <c r="A920" s="4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</row>
    <row r="921">
      <c r="A921" s="4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</row>
    <row r="922">
      <c r="A922" s="4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</row>
    <row r="923">
      <c r="A923" s="4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</row>
    <row r="924">
      <c r="A924" s="4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</row>
    <row r="925">
      <c r="A925" s="4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</row>
    <row r="926">
      <c r="A926" s="4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</row>
    <row r="927">
      <c r="A927" s="4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</row>
    <row r="928">
      <c r="A928" s="4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</row>
    <row r="929">
      <c r="A929" s="4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</row>
    <row r="930">
      <c r="A930" s="4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</row>
    <row r="931">
      <c r="A931" s="4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</row>
    <row r="932">
      <c r="A932" s="4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</row>
    <row r="933">
      <c r="A933" s="4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</row>
    <row r="934">
      <c r="A934" s="4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</row>
    <row r="935">
      <c r="A935" s="4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</row>
    <row r="936">
      <c r="A936" s="4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</row>
    <row r="937">
      <c r="A937" s="4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</row>
    <row r="938">
      <c r="A938" s="4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</row>
    <row r="939">
      <c r="A939" s="4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</row>
    <row r="940">
      <c r="A940" s="4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</row>
    <row r="941">
      <c r="A941" s="4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</row>
    <row r="942">
      <c r="A942" s="4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</row>
    <row r="943">
      <c r="A943" s="4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</row>
    <row r="944">
      <c r="A944" s="4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</row>
    <row r="945">
      <c r="A945" s="4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</row>
    <row r="946">
      <c r="A946" s="4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</row>
    <row r="947">
      <c r="A947" s="4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</row>
    <row r="948">
      <c r="A948" s="4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</row>
    <row r="949">
      <c r="A949" s="4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</row>
    <row r="950">
      <c r="A950" s="4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</row>
    <row r="951">
      <c r="A951" s="4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</row>
    <row r="952">
      <c r="A952" s="4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</row>
    <row r="953">
      <c r="A953" s="4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</row>
    <row r="954">
      <c r="A954" s="4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</row>
    <row r="955">
      <c r="A955" s="4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</row>
    <row r="956">
      <c r="A956" s="4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</row>
    <row r="957">
      <c r="A957" s="4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</row>
    <row r="958">
      <c r="A958" s="4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</row>
    <row r="959">
      <c r="A959" s="4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</row>
    <row r="960">
      <c r="A960" s="4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</row>
    <row r="961">
      <c r="A961" s="4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</row>
    <row r="962">
      <c r="A962" s="4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</row>
    <row r="963">
      <c r="A963" s="4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</row>
    <row r="964">
      <c r="A964" s="4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</row>
    <row r="965">
      <c r="A965" s="4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</row>
    <row r="966">
      <c r="A966" s="4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</row>
    <row r="967">
      <c r="A967" s="4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</row>
    <row r="968">
      <c r="A968" s="4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</row>
    <row r="969">
      <c r="A969" s="4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</row>
    <row r="970">
      <c r="A970" s="4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</row>
    <row r="971">
      <c r="A971" s="4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</row>
    <row r="972">
      <c r="A972" s="4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</row>
    <row r="973">
      <c r="A973" s="4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</row>
    <row r="974">
      <c r="A974" s="4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</row>
    <row r="975">
      <c r="A975" s="4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</row>
    <row r="976">
      <c r="A976" s="4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</row>
    <row r="977">
      <c r="A977" s="4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</row>
    <row r="978">
      <c r="A978" s="4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</row>
    <row r="979">
      <c r="A979" s="4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</row>
    <row r="980">
      <c r="A980" s="4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</row>
    <row r="981">
      <c r="A981" s="4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</row>
    <row r="982">
      <c r="A982" s="4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</row>
    <row r="983">
      <c r="A983" s="4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</row>
    <row r="984">
      <c r="A984" s="4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</row>
    <row r="985">
      <c r="A985" s="4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</row>
    <row r="986">
      <c r="A986" s="4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</row>
    <row r="987">
      <c r="A987" s="4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</row>
    <row r="988">
      <c r="A988" s="4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</row>
    <row r="989">
      <c r="A989" s="4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</row>
    <row r="990">
      <c r="A990" s="4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</row>
    <row r="991">
      <c r="A991" s="4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</row>
    <row r="992">
      <c r="A992" s="4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</row>
    <row r="993">
      <c r="A993" s="4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</row>
    <row r="994">
      <c r="A994" s="4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</row>
    <row r="995">
      <c r="A995" s="4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</row>
    <row r="996">
      <c r="A996" s="4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</row>
    <row r="997">
      <c r="A997" s="4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</row>
    <row r="998">
      <c r="A998" s="4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</row>
    <row r="999">
      <c r="A999" s="4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</row>
    <row r="1000">
      <c r="A1000" s="4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</row>
    <row r="1001">
      <c r="A1001" s="4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  <c r="AB1001" s="52"/>
      <c r="AC1001" s="52"/>
      <c r="AD1001" s="52"/>
      <c r="AE1001" s="52"/>
    </row>
    <row r="1002">
      <c r="A1002" s="4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  <c r="AB1002" s="52"/>
      <c r="AC1002" s="52"/>
      <c r="AD1002" s="52"/>
      <c r="AE1002" s="52"/>
    </row>
  </sheetData>
  <mergeCells count="3">
    <mergeCell ref="E1:F1"/>
    <mergeCell ref="J1:N1"/>
    <mergeCell ref="Q1:U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</cols>
  <sheetData>
    <row r="1">
      <c r="A1" s="56"/>
      <c r="B1" s="57" t="s">
        <v>46</v>
      </c>
      <c r="C1" s="57" t="s">
        <v>48</v>
      </c>
      <c r="D1" s="58" t="s">
        <v>50</v>
      </c>
      <c r="E1" s="57" t="s">
        <v>79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>
      <c r="A2" s="56" t="s">
        <v>49</v>
      </c>
      <c r="B2" s="57">
        <f>SUM('2025 Yield'!B4:B1000)</f>
        <v>3296</v>
      </c>
      <c r="C2" s="57">
        <f t="shared" ref="C2:C23" si="1">B2/1000</f>
        <v>3.296</v>
      </c>
      <c r="D2" s="58">
        <f>B2/E2</f>
        <v>7.266313933</v>
      </c>
      <c r="E2" s="57">
        <v>453.6</v>
      </c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</row>
    <row r="3">
      <c r="A3" s="56" t="s">
        <v>31</v>
      </c>
      <c r="B3" s="57">
        <f>SUM('2025 Yield'!C4:C1000)</f>
        <v>24614</v>
      </c>
      <c r="C3" s="57">
        <f t="shared" si="1"/>
        <v>24.614</v>
      </c>
      <c r="D3" s="58">
        <f>B3/E2</f>
        <v>54.26366843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</row>
    <row r="4">
      <c r="A4" s="56" t="s">
        <v>69</v>
      </c>
      <c r="B4" s="57">
        <f>SUM('2025 Yield'!D4:D1000)</f>
        <v>1294</v>
      </c>
      <c r="C4" s="57">
        <f t="shared" si="1"/>
        <v>1.294</v>
      </c>
      <c r="D4" s="58">
        <f>B4/E2</f>
        <v>2.852733686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</row>
    <row r="5">
      <c r="A5" s="56" t="s">
        <v>70</v>
      </c>
      <c r="B5" s="57">
        <f>SUM('2025 Yield'!E6:E1000)</f>
        <v>620</v>
      </c>
      <c r="C5" s="57">
        <f t="shared" si="1"/>
        <v>0.62</v>
      </c>
      <c r="D5" s="58">
        <f t="shared" ref="D5:D23" si="2">B5 / E$2</f>
        <v>1.366843034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</row>
    <row r="6">
      <c r="A6" s="56" t="s">
        <v>71</v>
      </c>
      <c r="B6" s="57">
        <f>SUM('2025 Yield'!F4:F1000)</f>
        <v>125</v>
      </c>
      <c r="C6" s="57">
        <f t="shared" si="1"/>
        <v>0.125</v>
      </c>
      <c r="D6" s="58">
        <f t="shared" si="2"/>
        <v>0.2755731922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</row>
    <row r="7">
      <c r="A7" s="56" t="s">
        <v>54</v>
      </c>
      <c r="B7" s="57">
        <f>SUM('2025 Yield'!G4:G1000)</f>
        <v>541</v>
      </c>
      <c r="C7" s="57">
        <f t="shared" si="1"/>
        <v>0.541</v>
      </c>
      <c r="D7" s="58">
        <f t="shared" si="2"/>
        <v>1.192680776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>
      <c r="A8" s="56" t="s">
        <v>14</v>
      </c>
      <c r="B8" s="57">
        <f>SUM('2025 Yield'!H4:H1000)</f>
        <v>46436.48</v>
      </c>
      <c r="C8" s="57">
        <f t="shared" si="1"/>
        <v>46.43648</v>
      </c>
      <c r="D8" s="58">
        <f t="shared" si="2"/>
        <v>102.3731922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</row>
    <row r="9">
      <c r="A9" s="56" t="s">
        <v>12</v>
      </c>
      <c r="B9" s="57">
        <f>SUM('2025 Yield'!I4:I1000)</f>
        <v>5273</v>
      </c>
      <c r="C9" s="57">
        <f t="shared" si="1"/>
        <v>5.273</v>
      </c>
      <c r="D9" s="58">
        <f t="shared" si="2"/>
        <v>11.62477954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>
      <c r="A10" s="56" t="s">
        <v>30</v>
      </c>
      <c r="B10" s="57">
        <f>SUM('2025 Yield'!J4:J1000)</f>
        <v>1426</v>
      </c>
      <c r="C10" s="57">
        <f t="shared" si="1"/>
        <v>1.426</v>
      </c>
      <c r="D10" s="58">
        <f t="shared" si="2"/>
        <v>3.143738977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>
      <c r="A11" s="56" t="s">
        <v>72</v>
      </c>
      <c r="B11" s="57">
        <f>SUM('2025 Yield'!K4:K1000)</f>
        <v>866</v>
      </c>
      <c r="C11" s="57">
        <f t="shared" si="1"/>
        <v>0.866</v>
      </c>
      <c r="D11" s="58">
        <f t="shared" si="2"/>
        <v>1.909171076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>
      <c r="A12" s="56" t="s">
        <v>73</v>
      </c>
      <c r="B12" s="57">
        <f>SUM('2025 Yield'!L4:L1000)</f>
        <v>1472</v>
      </c>
      <c r="C12" s="57">
        <f t="shared" si="1"/>
        <v>1.472</v>
      </c>
      <c r="D12" s="58">
        <f t="shared" si="2"/>
        <v>3.245149912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>
      <c r="A13" s="56" t="s">
        <v>74</v>
      </c>
      <c r="B13" s="57">
        <f>SUM('2025 Yield'!M4:M1000)</f>
        <v>205</v>
      </c>
      <c r="C13" s="57">
        <f t="shared" si="1"/>
        <v>0.205</v>
      </c>
      <c r="D13" s="58">
        <f t="shared" si="2"/>
        <v>0.4519400353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>
      <c r="A14" s="56" t="s">
        <v>75</v>
      </c>
      <c r="B14" s="57">
        <f>SUM('2025 Yield'!N4:N1000)</f>
        <v>503</v>
      </c>
      <c r="C14" s="57">
        <f t="shared" si="1"/>
        <v>0.503</v>
      </c>
      <c r="D14" s="58">
        <f t="shared" si="2"/>
        <v>1.108906526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>
      <c r="A15" s="56" t="s">
        <v>23</v>
      </c>
      <c r="B15" s="57">
        <f>SUM('2025 Yield'!O4:O1000)</f>
        <v>1985</v>
      </c>
      <c r="C15" s="57">
        <f t="shared" si="1"/>
        <v>1.985</v>
      </c>
      <c r="D15" s="58">
        <f t="shared" si="2"/>
        <v>4.376102293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>
      <c r="A16" s="56" t="s">
        <v>56</v>
      </c>
      <c r="B16" s="57">
        <f>SUM('2025 Yield'!P4:P1000)</f>
        <v>197</v>
      </c>
      <c r="C16" s="57">
        <f t="shared" si="1"/>
        <v>0.197</v>
      </c>
      <c r="D16" s="58">
        <f t="shared" si="2"/>
        <v>0.434303351</v>
      </c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>
      <c r="A17" s="56" t="s">
        <v>76</v>
      </c>
      <c r="B17" s="57">
        <f>SUM('2025 Yield'!Q4:Q1000)</f>
        <v>4094</v>
      </c>
      <c r="C17" s="57">
        <f t="shared" si="1"/>
        <v>4.094</v>
      </c>
      <c r="D17" s="58">
        <f t="shared" si="2"/>
        <v>9.025573192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>
      <c r="A18" s="56" t="s">
        <v>21</v>
      </c>
      <c r="B18" s="57">
        <f>SUM('2025 Yield'!R4:R1000)</f>
        <v>19809</v>
      </c>
      <c r="C18" s="57">
        <f t="shared" si="1"/>
        <v>19.809</v>
      </c>
      <c r="D18" s="58">
        <f t="shared" si="2"/>
        <v>43.67063492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>
      <c r="A19" s="56" t="s">
        <v>19</v>
      </c>
      <c r="B19" s="57">
        <f>SUM('2025 Yield'!S4:S1000)</f>
        <v>1308</v>
      </c>
      <c r="C19" s="57">
        <f t="shared" si="1"/>
        <v>1.308</v>
      </c>
      <c r="D19" s="58">
        <f t="shared" si="2"/>
        <v>2.883597884</v>
      </c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>
      <c r="A20" s="56" t="s">
        <v>58</v>
      </c>
      <c r="B20" s="57">
        <f>SUM('2025 Yield'!T4:T1000)</f>
        <v>7970</v>
      </c>
      <c r="C20" s="57">
        <f t="shared" si="1"/>
        <v>7.97</v>
      </c>
      <c r="D20" s="58">
        <f t="shared" si="2"/>
        <v>17.57054674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>
      <c r="A21" s="56" t="s">
        <v>77</v>
      </c>
      <c r="B21" s="57">
        <f>SUM('2025 Yield'!U4:U1000)</f>
        <v>2725</v>
      </c>
      <c r="C21" s="57">
        <f t="shared" si="1"/>
        <v>2.725</v>
      </c>
      <c r="D21" s="58">
        <f t="shared" si="2"/>
        <v>6.007495591</v>
      </c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>
      <c r="A22" s="56" t="s">
        <v>65</v>
      </c>
      <c r="B22" s="57">
        <f>SUM('2025 Yield'!V4:V1000)</f>
        <v>6391</v>
      </c>
      <c r="C22" s="57">
        <f t="shared" si="1"/>
        <v>6.391</v>
      </c>
      <c r="D22" s="58">
        <f t="shared" si="2"/>
        <v>14.08950617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>
      <c r="A23" s="56" t="s">
        <v>78</v>
      </c>
      <c r="B23" s="57">
        <f>SUM('2025 Yield'!W4:W1000)</f>
        <v>3778</v>
      </c>
      <c r="C23" s="57">
        <f t="shared" si="1"/>
        <v>3.778</v>
      </c>
      <c r="D23" s="58">
        <f t="shared" si="2"/>
        <v>8.328924162</v>
      </c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>
      <c r="A24" s="59"/>
      <c r="B24" s="60"/>
      <c r="C24" s="60"/>
      <c r="D24" s="61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</row>
    <row r="25">
      <c r="A25" s="56" t="s">
        <v>80</v>
      </c>
      <c r="B25" s="60">
        <f>SUM(B2:B23)</f>
        <v>134928.48</v>
      </c>
      <c r="C25" s="60">
        <f t="shared" ref="C25:D25" si="3">SUM(C2:C24)</f>
        <v>134.92848</v>
      </c>
      <c r="D25" s="61">
        <f t="shared" si="3"/>
        <v>297.4613757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</row>
    <row r="26">
      <c r="A26" s="59"/>
      <c r="B26" s="60"/>
      <c r="C26" s="60"/>
      <c r="D26" s="61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</row>
    <row r="27">
      <c r="A27" s="59"/>
      <c r="B27" s="60"/>
      <c r="C27" s="60"/>
      <c r="D27" s="61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</row>
    <row r="28">
      <c r="A28" s="59"/>
      <c r="B28" s="60"/>
      <c r="C28" s="60"/>
      <c r="D28" s="61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</row>
    <row r="29">
      <c r="A29" s="59"/>
      <c r="B29" s="60"/>
      <c r="C29" s="60"/>
      <c r="D29" s="61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</row>
    <row r="30">
      <c r="A30" s="59"/>
      <c r="B30" s="60"/>
      <c r="C30" s="60"/>
      <c r="D30" s="61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</row>
    <row r="31">
      <c r="A31" s="59"/>
      <c r="B31" s="60"/>
      <c r="C31" s="60"/>
      <c r="D31" s="61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</row>
    <row r="32">
      <c r="A32" s="62"/>
      <c r="B32" s="63"/>
      <c r="C32" s="63"/>
      <c r="D32" s="64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</row>
    <row r="33">
      <c r="A33" s="62"/>
      <c r="B33" s="63"/>
      <c r="C33" s="63"/>
      <c r="D33" s="64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</row>
    <row r="34">
      <c r="A34" s="62"/>
      <c r="B34" s="63"/>
      <c r="C34" s="63"/>
      <c r="D34" s="64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</row>
    <row r="35">
      <c r="A35" s="62"/>
      <c r="B35" s="63"/>
      <c r="C35" s="63"/>
      <c r="D35" s="64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</row>
    <row r="36">
      <c r="A36" s="62"/>
      <c r="B36" s="63"/>
      <c r="C36" s="63"/>
      <c r="D36" s="64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</row>
    <row r="37">
      <c r="A37" s="62"/>
      <c r="B37" s="63"/>
      <c r="C37" s="63"/>
      <c r="D37" s="64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</row>
    <row r="38">
      <c r="A38" s="62"/>
      <c r="B38" s="63"/>
      <c r="C38" s="63"/>
      <c r="D38" s="64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</row>
    <row r="39">
      <c r="A39" s="62"/>
      <c r="B39" s="63"/>
      <c r="C39" s="63"/>
      <c r="D39" s="64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</row>
    <row r="40">
      <c r="A40" s="62"/>
      <c r="B40" s="63"/>
      <c r="C40" s="63"/>
      <c r="D40" s="64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</row>
    <row r="41">
      <c r="A41" s="62"/>
      <c r="B41" s="63"/>
      <c r="C41" s="63"/>
      <c r="D41" s="64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</row>
    <row r="42">
      <c r="A42" s="62"/>
      <c r="B42" s="63"/>
      <c r="C42" s="63"/>
      <c r="D42" s="64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</row>
    <row r="43">
      <c r="A43" s="62"/>
      <c r="B43" s="63"/>
      <c r="C43" s="63"/>
      <c r="D43" s="64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>
      <c r="A44" s="62"/>
      <c r="B44" s="63"/>
      <c r="C44" s="63"/>
      <c r="D44" s="6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</row>
    <row r="45">
      <c r="A45" s="62"/>
      <c r="B45" s="63"/>
      <c r="C45" s="63"/>
      <c r="D45" s="64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>
      <c r="A46" s="62"/>
      <c r="B46" s="63"/>
      <c r="C46" s="63"/>
      <c r="D46" s="64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</row>
    <row r="47">
      <c r="A47" s="62"/>
      <c r="B47" s="63"/>
      <c r="C47" s="63"/>
      <c r="D47" s="64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8">
      <c r="A48" s="62"/>
      <c r="B48" s="63"/>
      <c r="C48" s="63"/>
      <c r="D48" s="64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</row>
    <row r="49">
      <c r="A49" s="62"/>
      <c r="B49" s="63"/>
      <c r="C49" s="63"/>
      <c r="D49" s="64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</row>
    <row r="50">
      <c r="A50" s="62"/>
      <c r="B50" s="63"/>
      <c r="C50" s="63"/>
      <c r="D50" s="64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</row>
    <row r="51">
      <c r="A51" s="62"/>
      <c r="B51" s="63"/>
      <c r="C51" s="63"/>
      <c r="D51" s="64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</row>
    <row r="52">
      <c r="A52" s="62"/>
      <c r="B52" s="63"/>
      <c r="C52" s="63"/>
      <c r="D52" s="64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</row>
    <row r="53">
      <c r="A53" s="62"/>
      <c r="B53" s="63"/>
      <c r="C53" s="63"/>
      <c r="D53" s="64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</row>
    <row r="54">
      <c r="A54" s="62"/>
      <c r="B54" s="63"/>
      <c r="C54" s="63"/>
      <c r="D54" s="64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</row>
    <row r="55">
      <c r="A55" s="62"/>
      <c r="B55" s="63"/>
      <c r="C55" s="63"/>
      <c r="D55" s="64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</row>
    <row r="56">
      <c r="A56" s="62"/>
      <c r="B56" s="63"/>
      <c r="C56" s="63"/>
      <c r="D56" s="64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</row>
    <row r="57">
      <c r="A57" s="62"/>
      <c r="B57" s="63"/>
      <c r="C57" s="63"/>
      <c r="D57" s="64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</row>
    <row r="58">
      <c r="A58" s="62"/>
      <c r="B58" s="63"/>
      <c r="C58" s="63"/>
      <c r="D58" s="64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</row>
    <row r="59">
      <c r="A59" s="62"/>
      <c r="B59" s="63"/>
      <c r="C59" s="63"/>
      <c r="D59" s="64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</row>
    <row r="60">
      <c r="A60" s="62"/>
      <c r="B60" s="63"/>
      <c r="C60" s="63"/>
      <c r="D60" s="64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</row>
    <row r="61">
      <c r="A61" s="62"/>
      <c r="B61" s="63"/>
      <c r="C61" s="63"/>
      <c r="D61" s="64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</row>
    <row r="62">
      <c r="A62" s="62"/>
      <c r="B62" s="63"/>
      <c r="C62" s="63"/>
      <c r="D62" s="64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</row>
    <row r="63">
      <c r="A63" s="62"/>
      <c r="B63" s="63"/>
      <c r="C63" s="63"/>
      <c r="D63" s="64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</row>
    <row r="64">
      <c r="A64" s="62"/>
      <c r="B64" s="63"/>
      <c r="C64" s="63"/>
      <c r="D64" s="64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>
      <c r="A65" s="62"/>
      <c r="B65" s="63"/>
      <c r="C65" s="63"/>
      <c r="D65" s="64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</row>
    <row r="66">
      <c r="A66" s="62"/>
      <c r="B66" s="63"/>
      <c r="C66" s="63"/>
      <c r="D66" s="6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</row>
    <row r="67">
      <c r="A67" s="62"/>
      <c r="B67" s="63"/>
      <c r="C67" s="63"/>
      <c r="D67" s="64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</row>
    <row r="68">
      <c r="A68" s="62"/>
      <c r="B68" s="63"/>
      <c r="C68" s="63"/>
      <c r="D68" s="64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</row>
    <row r="69">
      <c r="A69" s="62"/>
      <c r="B69" s="63"/>
      <c r="C69" s="63"/>
      <c r="D69" s="64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</row>
    <row r="70">
      <c r="A70" s="62"/>
      <c r="B70" s="63"/>
      <c r="C70" s="63"/>
      <c r="D70" s="64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</row>
    <row r="71">
      <c r="A71" s="62"/>
      <c r="B71" s="63"/>
      <c r="C71" s="63"/>
      <c r="D71" s="64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</row>
    <row r="72">
      <c r="A72" s="62"/>
      <c r="B72" s="63"/>
      <c r="C72" s="63"/>
      <c r="D72" s="64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</row>
    <row r="73">
      <c r="A73" s="62"/>
      <c r="B73" s="63"/>
      <c r="C73" s="63"/>
      <c r="D73" s="64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</row>
    <row r="74">
      <c r="A74" s="62"/>
      <c r="B74" s="63"/>
      <c r="C74" s="63"/>
      <c r="D74" s="64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</row>
    <row r="75">
      <c r="A75" s="62"/>
      <c r="B75" s="63"/>
      <c r="C75" s="63"/>
      <c r="D75" s="6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</row>
    <row r="76">
      <c r="A76" s="62"/>
      <c r="B76" s="63"/>
      <c r="C76" s="63"/>
      <c r="D76" s="64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</row>
    <row r="77">
      <c r="A77" s="62"/>
      <c r="B77" s="63"/>
      <c r="C77" s="63"/>
      <c r="D77" s="64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</row>
    <row r="78">
      <c r="A78" s="62"/>
      <c r="B78" s="63"/>
      <c r="C78" s="63"/>
      <c r="D78" s="64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</row>
    <row r="79">
      <c r="A79" s="62"/>
      <c r="B79" s="63"/>
      <c r="C79" s="63"/>
      <c r="D79" s="64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</row>
    <row r="80">
      <c r="A80" s="62"/>
      <c r="B80" s="63"/>
      <c r="C80" s="63"/>
      <c r="D80" s="64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</row>
    <row r="81">
      <c r="A81" s="62"/>
      <c r="B81" s="63"/>
      <c r="C81" s="63"/>
      <c r="D81" s="64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</row>
    <row r="82">
      <c r="A82" s="62"/>
      <c r="B82" s="63"/>
      <c r="C82" s="63"/>
      <c r="D82" s="64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</row>
    <row r="83">
      <c r="A83" s="62"/>
      <c r="B83" s="63"/>
      <c r="C83" s="63"/>
      <c r="D83" s="64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</row>
    <row r="84">
      <c r="A84" s="62"/>
      <c r="B84" s="63"/>
      <c r="C84" s="63"/>
      <c r="D84" s="64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</row>
    <row r="85">
      <c r="A85" s="62"/>
      <c r="B85" s="63"/>
      <c r="C85" s="63"/>
      <c r="D85" s="64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</row>
    <row r="86">
      <c r="A86" s="62"/>
      <c r="B86" s="63"/>
      <c r="C86" s="63"/>
      <c r="D86" s="64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</row>
    <row r="87">
      <c r="A87" s="62"/>
      <c r="B87" s="63"/>
      <c r="C87" s="63"/>
      <c r="D87" s="64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</row>
    <row r="88">
      <c r="A88" s="62"/>
      <c r="B88" s="63"/>
      <c r="C88" s="63"/>
      <c r="D88" s="64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</row>
    <row r="89">
      <c r="A89" s="62"/>
      <c r="B89" s="63"/>
      <c r="C89" s="63"/>
      <c r="D89" s="64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</row>
    <row r="90">
      <c r="A90" s="62"/>
      <c r="B90" s="63"/>
      <c r="C90" s="63"/>
      <c r="D90" s="64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</row>
    <row r="91">
      <c r="A91" s="62"/>
      <c r="B91" s="63"/>
      <c r="C91" s="63"/>
      <c r="D91" s="64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</row>
    <row r="92">
      <c r="A92" s="62"/>
      <c r="B92" s="63"/>
      <c r="C92" s="63"/>
      <c r="D92" s="64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</row>
    <row r="93">
      <c r="A93" s="62"/>
      <c r="B93" s="63"/>
      <c r="C93" s="63"/>
      <c r="D93" s="64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</row>
    <row r="94">
      <c r="A94" s="62"/>
      <c r="B94" s="63"/>
      <c r="C94" s="63"/>
      <c r="D94" s="64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</row>
    <row r="95">
      <c r="A95" s="62"/>
      <c r="B95" s="63"/>
      <c r="C95" s="63"/>
      <c r="D95" s="64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</row>
    <row r="96">
      <c r="A96" s="62"/>
      <c r="B96" s="63"/>
      <c r="C96" s="63"/>
      <c r="D96" s="64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</row>
    <row r="97">
      <c r="A97" s="62"/>
      <c r="B97" s="63"/>
      <c r="C97" s="63"/>
      <c r="D97" s="64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</row>
    <row r="98">
      <c r="A98" s="62"/>
      <c r="B98" s="63"/>
      <c r="C98" s="63"/>
      <c r="D98" s="64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</row>
    <row r="99">
      <c r="A99" s="62"/>
      <c r="B99" s="63"/>
      <c r="C99" s="63"/>
      <c r="D99" s="64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</row>
    <row r="100">
      <c r="A100" s="62"/>
      <c r="B100" s="63"/>
      <c r="C100" s="63"/>
      <c r="D100" s="64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</row>
    <row r="101">
      <c r="A101" s="62"/>
      <c r="B101" s="63"/>
      <c r="C101" s="63"/>
      <c r="D101" s="64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</row>
    <row r="102">
      <c r="A102" s="62"/>
      <c r="B102" s="63"/>
      <c r="C102" s="63"/>
      <c r="D102" s="64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</row>
    <row r="103">
      <c r="A103" s="62"/>
      <c r="B103" s="63"/>
      <c r="C103" s="63"/>
      <c r="D103" s="64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</row>
    <row r="104">
      <c r="A104" s="62"/>
      <c r="B104" s="63"/>
      <c r="C104" s="63"/>
      <c r="D104" s="64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</row>
    <row r="105">
      <c r="A105" s="62"/>
      <c r="B105" s="63"/>
      <c r="C105" s="63"/>
      <c r="D105" s="64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</row>
    <row r="106">
      <c r="A106" s="62"/>
      <c r="B106" s="63"/>
      <c r="C106" s="63"/>
      <c r="D106" s="64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</row>
    <row r="107">
      <c r="A107" s="62"/>
      <c r="B107" s="63"/>
      <c r="C107" s="63"/>
      <c r="D107" s="64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</row>
    <row r="108">
      <c r="A108" s="62"/>
      <c r="B108" s="63"/>
      <c r="C108" s="63"/>
      <c r="D108" s="64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</row>
    <row r="109">
      <c r="A109" s="62"/>
      <c r="B109" s="63"/>
      <c r="C109" s="63"/>
      <c r="D109" s="64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</row>
    <row r="110">
      <c r="A110" s="62"/>
      <c r="B110" s="63"/>
      <c r="C110" s="63"/>
      <c r="D110" s="64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</row>
    <row r="111">
      <c r="A111" s="62"/>
      <c r="B111" s="63"/>
      <c r="C111" s="63"/>
      <c r="D111" s="64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</row>
    <row r="112">
      <c r="A112" s="62"/>
      <c r="B112" s="63"/>
      <c r="C112" s="63"/>
      <c r="D112" s="64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</row>
    <row r="113">
      <c r="A113" s="62"/>
      <c r="B113" s="63"/>
      <c r="C113" s="63"/>
      <c r="D113" s="64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</row>
    <row r="114">
      <c r="A114" s="62"/>
      <c r="B114" s="63"/>
      <c r="C114" s="63"/>
      <c r="D114" s="64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</row>
    <row r="115">
      <c r="A115" s="62"/>
      <c r="B115" s="63"/>
      <c r="C115" s="63"/>
      <c r="D115" s="64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</row>
    <row r="116">
      <c r="A116" s="62"/>
      <c r="B116" s="63"/>
      <c r="C116" s="63"/>
      <c r="D116" s="64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</row>
    <row r="117">
      <c r="A117" s="62"/>
      <c r="B117" s="63"/>
      <c r="C117" s="63"/>
      <c r="D117" s="64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</row>
    <row r="118">
      <c r="A118" s="62"/>
      <c r="B118" s="63"/>
      <c r="C118" s="63"/>
      <c r="D118" s="64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</row>
    <row r="119">
      <c r="A119" s="62"/>
      <c r="B119" s="63"/>
      <c r="C119" s="63"/>
      <c r="D119" s="64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</row>
    <row r="120">
      <c r="A120" s="62"/>
      <c r="B120" s="63"/>
      <c r="C120" s="63"/>
      <c r="D120" s="64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</row>
    <row r="121">
      <c r="A121" s="62"/>
      <c r="B121" s="63"/>
      <c r="C121" s="63"/>
      <c r="D121" s="64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</row>
    <row r="122">
      <c r="A122" s="62"/>
      <c r="B122" s="63"/>
      <c r="C122" s="63"/>
      <c r="D122" s="64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</row>
    <row r="123">
      <c r="A123" s="62"/>
      <c r="B123" s="63"/>
      <c r="C123" s="63"/>
      <c r="D123" s="64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</row>
    <row r="124">
      <c r="A124" s="62"/>
      <c r="B124" s="63"/>
      <c r="C124" s="63"/>
      <c r="D124" s="64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</row>
    <row r="125">
      <c r="A125" s="62"/>
      <c r="B125" s="63"/>
      <c r="C125" s="63"/>
      <c r="D125" s="64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</row>
    <row r="126">
      <c r="A126" s="62"/>
      <c r="B126" s="63"/>
      <c r="C126" s="63"/>
      <c r="D126" s="64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</row>
    <row r="127">
      <c r="A127" s="62"/>
      <c r="B127" s="63"/>
      <c r="C127" s="63"/>
      <c r="D127" s="64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</row>
    <row r="128">
      <c r="A128" s="62"/>
      <c r="B128" s="63"/>
      <c r="C128" s="63"/>
      <c r="D128" s="64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</row>
    <row r="129">
      <c r="A129" s="62"/>
      <c r="B129" s="63"/>
      <c r="C129" s="63"/>
      <c r="D129" s="64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</row>
    <row r="130">
      <c r="A130" s="62"/>
      <c r="B130" s="63"/>
      <c r="C130" s="63"/>
      <c r="D130" s="64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</row>
    <row r="131">
      <c r="A131" s="62"/>
      <c r="B131" s="63"/>
      <c r="C131" s="63"/>
      <c r="D131" s="64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</row>
    <row r="132">
      <c r="A132" s="62"/>
      <c r="B132" s="63"/>
      <c r="C132" s="63"/>
      <c r="D132" s="64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</row>
    <row r="133">
      <c r="A133" s="62"/>
      <c r="B133" s="63"/>
      <c r="C133" s="63"/>
      <c r="D133" s="64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</row>
    <row r="134">
      <c r="A134" s="62"/>
      <c r="B134" s="63"/>
      <c r="C134" s="63"/>
      <c r="D134" s="64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</row>
    <row r="135">
      <c r="A135" s="62"/>
      <c r="B135" s="63"/>
      <c r="C135" s="63"/>
      <c r="D135" s="64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</row>
    <row r="136">
      <c r="A136" s="62"/>
      <c r="B136" s="63"/>
      <c r="C136" s="63"/>
      <c r="D136" s="64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</row>
    <row r="137">
      <c r="A137" s="62"/>
      <c r="B137" s="63"/>
      <c r="C137" s="63"/>
      <c r="D137" s="64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</row>
    <row r="138">
      <c r="A138" s="62"/>
      <c r="B138" s="63"/>
      <c r="C138" s="63"/>
      <c r="D138" s="64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</row>
    <row r="139">
      <c r="A139" s="62"/>
      <c r="B139" s="63"/>
      <c r="C139" s="63"/>
      <c r="D139" s="64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</row>
    <row r="140">
      <c r="A140" s="62"/>
      <c r="B140" s="63"/>
      <c r="C140" s="63"/>
      <c r="D140" s="64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</row>
    <row r="141">
      <c r="A141" s="62"/>
      <c r="B141" s="63"/>
      <c r="C141" s="63"/>
      <c r="D141" s="64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</row>
    <row r="142">
      <c r="A142" s="62"/>
      <c r="B142" s="63"/>
      <c r="C142" s="63"/>
      <c r="D142" s="64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</row>
    <row r="143">
      <c r="A143" s="62"/>
      <c r="B143" s="63"/>
      <c r="C143" s="63"/>
      <c r="D143" s="64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</row>
    <row r="144">
      <c r="A144" s="62"/>
      <c r="B144" s="63"/>
      <c r="C144" s="63"/>
      <c r="D144" s="64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</row>
    <row r="145">
      <c r="A145" s="62"/>
      <c r="B145" s="63"/>
      <c r="C145" s="63"/>
      <c r="D145" s="64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</row>
    <row r="146">
      <c r="A146" s="62"/>
      <c r="B146" s="63"/>
      <c r="C146" s="63"/>
      <c r="D146" s="64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</row>
    <row r="147">
      <c r="A147" s="62"/>
      <c r="B147" s="63"/>
      <c r="C147" s="63"/>
      <c r="D147" s="64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</row>
    <row r="148">
      <c r="A148" s="62"/>
      <c r="B148" s="63"/>
      <c r="C148" s="63"/>
      <c r="D148" s="64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</row>
    <row r="149">
      <c r="A149" s="62"/>
      <c r="B149" s="63"/>
      <c r="C149" s="63"/>
      <c r="D149" s="64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</row>
    <row r="150">
      <c r="A150" s="62"/>
      <c r="B150" s="63"/>
      <c r="C150" s="63"/>
      <c r="D150" s="64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</row>
    <row r="151">
      <c r="A151" s="62"/>
      <c r="B151" s="63"/>
      <c r="C151" s="63"/>
      <c r="D151" s="64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</row>
    <row r="152">
      <c r="A152" s="62"/>
      <c r="B152" s="63"/>
      <c r="C152" s="63"/>
      <c r="D152" s="64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</row>
    <row r="153">
      <c r="A153" s="62"/>
      <c r="B153" s="63"/>
      <c r="C153" s="63"/>
      <c r="D153" s="64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</row>
    <row r="154">
      <c r="A154" s="62"/>
      <c r="B154" s="63"/>
      <c r="C154" s="63"/>
      <c r="D154" s="64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</row>
    <row r="155">
      <c r="A155" s="62"/>
      <c r="B155" s="63"/>
      <c r="C155" s="63"/>
      <c r="D155" s="64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</row>
    <row r="156">
      <c r="A156" s="62"/>
      <c r="B156" s="63"/>
      <c r="C156" s="63"/>
      <c r="D156" s="64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</row>
    <row r="157">
      <c r="A157" s="62"/>
      <c r="B157" s="63"/>
      <c r="C157" s="63"/>
      <c r="D157" s="64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</row>
    <row r="158">
      <c r="A158" s="62"/>
      <c r="B158" s="63"/>
      <c r="C158" s="63"/>
      <c r="D158" s="64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</row>
    <row r="159">
      <c r="A159" s="62"/>
      <c r="B159" s="63"/>
      <c r="C159" s="63"/>
      <c r="D159" s="64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</row>
    <row r="160">
      <c r="A160" s="62"/>
      <c r="B160" s="63"/>
      <c r="C160" s="63"/>
      <c r="D160" s="64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</row>
    <row r="161">
      <c r="A161" s="62"/>
      <c r="B161" s="63"/>
      <c r="C161" s="63"/>
      <c r="D161" s="64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</row>
    <row r="162">
      <c r="A162" s="62"/>
      <c r="B162" s="63"/>
      <c r="C162" s="63"/>
      <c r="D162" s="64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</row>
    <row r="163">
      <c r="A163" s="62"/>
      <c r="B163" s="63"/>
      <c r="C163" s="63"/>
      <c r="D163" s="64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</row>
    <row r="164">
      <c r="A164" s="62"/>
      <c r="B164" s="63"/>
      <c r="C164" s="63"/>
      <c r="D164" s="64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</row>
    <row r="165">
      <c r="A165" s="62"/>
      <c r="B165" s="63"/>
      <c r="C165" s="63"/>
      <c r="D165" s="64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</row>
    <row r="166">
      <c r="A166" s="62"/>
      <c r="B166" s="63"/>
      <c r="C166" s="63"/>
      <c r="D166" s="64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</row>
    <row r="167">
      <c r="A167" s="62"/>
      <c r="B167" s="63"/>
      <c r="C167" s="63"/>
      <c r="D167" s="64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</row>
    <row r="168">
      <c r="A168" s="62"/>
      <c r="B168" s="63"/>
      <c r="C168" s="63"/>
      <c r="D168" s="64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</row>
    <row r="169">
      <c r="A169" s="62"/>
      <c r="B169" s="63"/>
      <c r="C169" s="63"/>
      <c r="D169" s="64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</row>
    <row r="170">
      <c r="A170" s="62"/>
      <c r="B170" s="63"/>
      <c r="C170" s="63"/>
      <c r="D170" s="64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</row>
    <row r="171">
      <c r="A171" s="62"/>
      <c r="B171" s="63"/>
      <c r="C171" s="63"/>
      <c r="D171" s="64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</row>
    <row r="172">
      <c r="A172" s="62"/>
      <c r="B172" s="63"/>
      <c r="C172" s="63"/>
      <c r="D172" s="64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</row>
    <row r="173">
      <c r="A173" s="62"/>
      <c r="B173" s="63"/>
      <c r="C173" s="63"/>
      <c r="D173" s="64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</row>
    <row r="174">
      <c r="A174" s="62"/>
      <c r="B174" s="63"/>
      <c r="C174" s="63"/>
      <c r="D174" s="64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</row>
    <row r="175">
      <c r="A175" s="62"/>
      <c r="B175" s="63"/>
      <c r="C175" s="63"/>
      <c r="D175" s="64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</row>
    <row r="176">
      <c r="A176" s="62"/>
      <c r="B176" s="63"/>
      <c r="C176" s="63"/>
      <c r="D176" s="64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</row>
    <row r="177">
      <c r="A177" s="62"/>
      <c r="B177" s="63"/>
      <c r="C177" s="63"/>
      <c r="D177" s="64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</row>
    <row r="178">
      <c r="A178" s="62"/>
      <c r="B178" s="63"/>
      <c r="C178" s="63"/>
      <c r="D178" s="64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</row>
    <row r="179">
      <c r="A179" s="62"/>
      <c r="B179" s="63"/>
      <c r="C179" s="63"/>
      <c r="D179" s="64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</row>
    <row r="180">
      <c r="A180" s="62"/>
      <c r="B180" s="63"/>
      <c r="C180" s="63"/>
      <c r="D180" s="64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</row>
    <row r="181">
      <c r="A181" s="62"/>
      <c r="B181" s="63"/>
      <c r="C181" s="63"/>
      <c r="D181" s="64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</row>
    <row r="182">
      <c r="A182" s="62"/>
      <c r="B182" s="63"/>
      <c r="C182" s="63"/>
      <c r="D182" s="64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</row>
    <row r="183">
      <c r="A183" s="62"/>
      <c r="B183" s="63"/>
      <c r="C183" s="63"/>
      <c r="D183" s="64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</row>
    <row r="184">
      <c r="A184" s="62"/>
      <c r="B184" s="63"/>
      <c r="C184" s="63"/>
      <c r="D184" s="64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</row>
    <row r="185">
      <c r="A185" s="62"/>
      <c r="B185" s="63"/>
      <c r="C185" s="63"/>
      <c r="D185" s="64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</row>
    <row r="186">
      <c r="A186" s="62"/>
      <c r="B186" s="63"/>
      <c r="C186" s="63"/>
      <c r="D186" s="64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</row>
    <row r="187">
      <c r="A187" s="62"/>
      <c r="B187" s="63"/>
      <c r="C187" s="63"/>
      <c r="D187" s="64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</row>
    <row r="188">
      <c r="A188" s="62"/>
      <c r="B188" s="63"/>
      <c r="C188" s="63"/>
      <c r="D188" s="64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</row>
    <row r="189">
      <c r="A189" s="62"/>
      <c r="B189" s="63"/>
      <c r="C189" s="63"/>
      <c r="D189" s="64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</row>
    <row r="190">
      <c r="A190" s="62"/>
      <c r="B190" s="63"/>
      <c r="C190" s="63"/>
      <c r="D190" s="64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</row>
    <row r="191">
      <c r="A191" s="62"/>
      <c r="B191" s="63"/>
      <c r="C191" s="63"/>
      <c r="D191" s="64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</row>
    <row r="192">
      <c r="A192" s="62"/>
      <c r="B192" s="63"/>
      <c r="C192" s="63"/>
      <c r="D192" s="64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</row>
    <row r="193">
      <c r="A193" s="62"/>
      <c r="B193" s="63"/>
      <c r="C193" s="63"/>
      <c r="D193" s="64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</row>
    <row r="194">
      <c r="A194" s="62"/>
      <c r="B194" s="63"/>
      <c r="C194" s="63"/>
      <c r="D194" s="64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</row>
    <row r="195">
      <c r="A195" s="62"/>
      <c r="B195" s="63"/>
      <c r="C195" s="63"/>
      <c r="D195" s="64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</row>
    <row r="196">
      <c r="A196" s="62"/>
      <c r="B196" s="63"/>
      <c r="C196" s="63"/>
      <c r="D196" s="64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</row>
    <row r="197">
      <c r="A197" s="62"/>
      <c r="B197" s="63"/>
      <c r="C197" s="63"/>
      <c r="D197" s="64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</row>
    <row r="198">
      <c r="A198" s="62"/>
      <c r="B198" s="63"/>
      <c r="C198" s="63"/>
      <c r="D198" s="64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</row>
    <row r="199">
      <c r="A199" s="62"/>
      <c r="B199" s="63"/>
      <c r="C199" s="63"/>
      <c r="D199" s="64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</row>
    <row r="200">
      <c r="A200" s="62"/>
      <c r="B200" s="63"/>
      <c r="C200" s="63"/>
      <c r="D200" s="64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</row>
    <row r="201">
      <c r="A201" s="62"/>
      <c r="B201" s="63"/>
      <c r="C201" s="63"/>
      <c r="D201" s="64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</row>
    <row r="202">
      <c r="A202" s="62"/>
      <c r="B202" s="63"/>
      <c r="C202" s="63"/>
      <c r="D202" s="64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</row>
    <row r="203">
      <c r="A203" s="62"/>
      <c r="B203" s="63"/>
      <c r="C203" s="63"/>
      <c r="D203" s="64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</row>
    <row r="204">
      <c r="A204" s="62"/>
      <c r="B204" s="63"/>
      <c r="C204" s="63"/>
      <c r="D204" s="64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</row>
    <row r="205">
      <c r="A205" s="62"/>
      <c r="B205" s="63"/>
      <c r="C205" s="63"/>
      <c r="D205" s="64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</row>
    <row r="206">
      <c r="A206" s="62"/>
      <c r="B206" s="63"/>
      <c r="C206" s="63"/>
      <c r="D206" s="64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</row>
    <row r="207">
      <c r="A207" s="62"/>
      <c r="B207" s="63"/>
      <c r="C207" s="63"/>
      <c r="D207" s="64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</row>
    <row r="208">
      <c r="A208" s="62"/>
      <c r="B208" s="63"/>
      <c r="C208" s="63"/>
      <c r="D208" s="64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</row>
    <row r="209">
      <c r="A209" s="62"/>
      <c r="B209" s="63"/>
      <c r="C209" s="63"/>
      <c r="D209" s="64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</row>
    <row r="210">
      <c r="A210" s="62"/>
      <c r="B210" s="63"/>
      <c r="C210" s="63"/>
      <c r="D210" s="64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</row>
    <row r="211">
      <c r="A211" s="62"/>
      <c r="B211" s="63"/>
      <c r="C211" s="63"/>
      <c r="D211" s="64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</row>
    <row r="212">
      <c r="A212" s="62"/>
      <c r="B212" s="63"/>
      <c r="C212" s="63"/>
      <c r="D212" s="64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</row>
    <row r="213">
      <c r="A213" s="62"/>
      <c r="B213" s="63"/>
      <c r="C213" s="63"/>
      <c r="D213" s="64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</row>
    <row r="214">
      <c r="A214" s="62"/>
      <c r="B214" s="63"/>
      <c r="C214" s="63"/>
      <c r="D214" s="64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</row>
    <row r="215">
      <c r="A215" s="62"/>
      <c r="B215" s="63"/>
      <c r="C215" s="63"/>
      <c r="D215" s="64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</row>
    <row r="216">
      <c r="A216" s="62"/>
      <c r="B216" s="63"/>
      <c r="C216" s="63"/>
      <c r="D216" s="64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</row>
    <row r="217">
      <c r="A217" s="62"/>
      <c r="B217" s="63"/>
      <c r="C217" s="63"/>
      <c r="D217" s="64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</row>
    <row r="218">
      <c r="A218" s="62"/>
      <c r="B218" s="63"/>
      <c r="C218" s="63"/>
      <c r="D218" s="64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</row>
    <row r="219">
      <c r="A219" s="62"/>
      <c r="B219" s="63"/>
      <c r="C219" s="63"/>
      <c r="D219" s="64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</row>
    <row r="220">
      <c r="A220" s="62"/>
      <c r="B220" s="63"/>
      <c r="C220" s="63"/>
      <c r="D220" s="64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</row>
    <row r="221">
      <c r="A221" s="62"/>
      <c r="B221" s="63"/>
      <c r="C221" s="63"/>
      <c r="D221" s="64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</row>
    <row r="222">
      <c r="A222" s="62"/>
      <c r="B222" s="63"/>
      <c r="C222" s="63"/>
      <c r="D222" s="64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</row>
    <row r="223">
      <c r="A223" s="62"/>
      <c r="B223" s="63"/>
      <c r="C223" s="63"/>
      <c r="D223" s="64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</row>
    <row r="224">
      <c r="A224" s="62"/>
      <c r="B224" s="63"/>
      <c r="C224" s="63"/>
      <c r="D224" s="64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</row>
    <row r="225">
      <c r="A225" s="62"/>
      <c r="B225" s="63"/>
      <c r="C225" s="63"/>
      <c r="D225" s="64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</row>
    <row r="226">
      <c r="A226" s="62"/>
      <c r="B226" s="63"/>
      <c r="C226" s="63"/>
      <c r="D226" s="64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</row>
    <row r="227">
      <c r="A227" s="62"/>
      <c r="B227" s="63"/>
      <c r="C227" s="63"/>
      <c r="D227" s="64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</row>
    <row r="228">
      <c r="A228" s="62"/>
      <c r="B228" s="63"/>
      <c r="C228" s="63"/>
      <c r="D228" s="64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</row>
    <row r="229">
      <c r="A229" s="62"/>
      <c r="B229" s="63"/>
      <c r="C229" s="63"/>
      <c r="D229" s="64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</row>
    <row r="230">
      <c r="A230" s="62"/>
      <c r="B230" s="63"/>
      <c r="C230" s="63"/>
      <c r="D230" s="64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</row>
    <row r="231">
      <c r="A231" s="62"/>
      <c r="B231" s="63"/>
      <c r="C231" s="63"/>
      <c r="D231" s="64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</row>
    <row r="232">
      <c r="A232" s="62"/>
      <c r="B232" s="63"/>
      <c r="C232" s="63"/>
      <c r="D232" s="64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</row>
    <row r="233">
      <c r="A233" s="62"/>
      <c r="B233" s="63"/>
      <c r="C233" s="63"/>
      <c r="D233" s="64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</row>
    <row r="234">
      <c r="A234" s="62"/>
      <c r="B234" s="63"/>
      <c r="C234" s="63"/>
      <c r="D234" s="64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</row>
    <row r="235">
      <c r="A235" s="62"/>
      <c r="B235" s="63"/>
      <c r="C235" s="63"/>
      <c r="D235" s="64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</row>
    <row r="236">
      <c r="A236" s="62"/>
      <c r="B236" s="63"/>
      <c r="C236" s="63"/>
      <c r="D236" s="64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</row>
    <row r="237">
      <c r="A237" s="62"/>
      <c r="B237" s="63"/>
      <c r="C237" s="63"/>
      <c r="D237" s="64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</row>
    <row r="238">
      <c r="A238" s="62"/>
      <c r="B238" s="63"/>
      <c r="C238" s="63"/>
      <c r="D238" s="64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</row>
    <row r="239">
      <c r="A239" s="62"/>
      <c r="B239" s="63"/>
      <c r="C239" s="63"/>
      <c r="D239" s="64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</row>
    <row r="240">
      <c r="A240" s="62"/>
      <c r="B240" s="63"/>
      <c r="C240" s="63"/>
      <c r="D240" s="64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</row>
    <row r="241">
      <c r="A241" s="62"/>
      <c r="B241" s="63"/>
      <c r="C241" s="63"/>
      <c r="D241" s="64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</row>
    <row r="242">
      <c r="A242" s="62"/>
      <c r="B242" s="63"/>
      <c r="C242" s="63"/>
      <c r="D242" s="64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</row>
    <row r="243">
      <c r="A243" s="62"/>
      <c r="B243" s="63"/>
      <c r="C243" s="63"/>
      <c r="D243" s="64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</row>
    <row r="244">
      <c r="A244" s="62"/>
      <c r="B244" s="63"/>
      <c r="C244" s="63"/>
      <c r="D244" s="64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</row>
    <row r="245">
      <c r="A245" s="62"/>
      <c r="B245" s="63"/>
      <c r="C245" s="63"/>
      <c r="D245" s="64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</row>
    <row r="246">
      <c r="A246" s="62"/>
      <c r="B246" s="63"/>
      <c r="C246" s="63"/>
      <c r="D246" s="64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</row>
    <row r="247">
      <c r="A247" s="62"/>
      <c r="B247" s="63"/>
      <c r="C247" s="63"/>
      <c r="D247" s="64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</row>
    <row r="248">
      <c r="A248" s="62"/>
      <c r="B248" s="63"/>
      <c r="C248" s="63"/>
      <c r="D248" s="64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</row>
    <row r="249">
      <c r="A249" s="62"/>
      <c r="B249" s="63"/>
      <c r="C249" s="63"/>
      <c r="D249" s="64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</row>
    <row r="250">
      <c r="A250" s="62"/>
      <c r="B250" s="63"/>
      <c r="C250" s="63"/>
      <c r="D250" s="64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</row>
    <row r="251">
      <c r="A251" s="62"/>
      <c r="B251" s="63"/>
      <c r="C251" s="63"/>
      <c r="D251" s="64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</row>
    <row r="252">
      <c r="A252" s="62"/>
      <c r="B252" s="63"/>
      <c r="C252" s="63"/>
      <c r="D252" s="64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</row>
    <row r="253">
      <c r="A253" s="62"/>
      <c r="B253" s="63"/>
      <c r="C253" s="63"/>
      <c r="D253" s="64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</row>
    <row r="254">
      <c r="A254" s="62"/>
      <c r="B254" s="63"/>
      <c r="C254" s="63"/>
      <c r="D254" s="64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</row>
    <row r="255">
      <c r="A255" s="62"/>
      <c r="B255" s="63"/>
      <c r="C255" s="63"/>
      <c r="D255" s="64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</row>
    <row r="256">
      <c r="A256" s="62"/>
      <c r="B256" s="63"/>
      <c r="C256" s="63"/>
      <c r="D256" s="64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</row>
    <row r="257">
      <c r="A257" s="62"/>
      <c r="B257" s="63"/>
      <c r="C257" s="63"/>
      <c r="D257" s="64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</row>
    <row r="258">
      <c r="A258" s="62"/>
      <c r="B258" s="63"/>
      <c r="C258" s="63"/>
      <c r="D258" s="64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</row>
    <row r="259">
      <c r="A259" s="62"/>
      <c r="B259" s="63"/>
      <c r="C259" s="63"/>
      <c r="D259" s="64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</row>
    <row r="260">
      <c r="A260" s="62"/>
      <c r="B260" s="63"/>
      <c r="C260" s="63"/>
      <c r="D260" s="64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</row>
    <row r="261">
      <c r="A261" s="62"/>
      <c r="B261" s="63"/>
      <c r="C261" s="63"/>
      <c r="D261" s="64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</row>
    <row r="262">
      <c r="A262" s="62"/>
      <c r="B262" s="63"/>
      <c r="C262" s="63"/>
      <c r="D262" s="64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</row>
    <row r="263">
      <c r="A263" s="62"/>
      <c r="B263" s="63"/>
      <c r="C263" s="63"/>
      <c r="D263" s="64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</row>
    <row r="264">
      <c r="A264" s="62"/>
      <c r="B264" s="63"/>
      <c r="C264" s="63"/>
      <c r="D264" s="64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</row>
    <row r="265">
      <c r="A265" s="62"/>
      <c r="B265" s="63"/>
      <c r="C265" s="63"/>
      <c r="D265" s="64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</row>
    <row r="266">
      <c r="A266" s="62"/>
      <c r="B266" s="63"/>
      <c r="C266" s="63"/>
      <c r="D266" s="64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</row>
    <row r="267">
      <c r="A267" s="62"/>
      <c r="B267" s="63"/>
      <c r="C267" s="63"/>
      <c r="D267" s="64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</row>
    <row r="268">
      <c r="A268" s="62"/>
      <c r="B268" s="63"/>
      <c r="C268" s="63"/>
      <c r="D268" s="64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</row>
    <row r="269">
      <c r="A269" s="62"/>
      <c r="B269" s="63"/>
      <c r="C269" s="63"/>
      <c r="D269" s="64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</row>
    <row r="270">
      <c r="A270" s="62"/>
      <c r="B270" s="63"/>
      <c r="C270" s="63"/>
      <c r="D270" s="64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</row>
    <row r="271">
      <c r="A271" s="62"/>
      <c r="B271" s="63"/>
      <c r="C271" s="63"/>
      <c r="D271" s="64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</row>
    <row r="272">
      <c r="A272" s="62"/>
      <c r="B272" s="63"/>
      <c r="C272" s="63"/>
      <c r="D272" s="64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</row>
    <row r="273">
      <c r="A273" s="62"/>
      <c r="B273" s="63"/>
      <c r="C273" s="63"/>
      <c r="D273" s="64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</row>
    <row r="274">
      <c r="A274" s="62"/>
      <c r="B274" s="63"/>
      <c r="C274" s="63"/>
      <c r="D274" s="64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</row>
    <row r="275">
      <c r="A275" s="62"/>
      <c r="B275" s="63"/>
      <c r="C275" s="63"/>
      <c r="D275" s="64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</row>
    <row r="276">
      <c r="A276" s="62"/>
      <c r="B276" s="63"/>
      <c r="C276" s="63"/>
      <c r="D276" s="64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</row>
    <row r="277">
      <c r="A277" s="62"/>
      <c r="B277" s="63"/>
      <c r="C277" s="63"/>
      <c r="D277" s="64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</row>
    <row r="278">
      <c r="A278" s="62"/>
      <c r="B278" s="63"/>
      <c r="C278" s="63"/>
      <c r="D278" s="64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</row>
    <row r="279">
      <c r="A279" s="62"/>
      <c r="B279" s="63"/>
      <c r="C279" s="63"/>
      <c r="D279" s="64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</row>
    <row r="280">
      <c r="A280" s="62"/>
      <c r="B280" s="63"/>
      <c r="C280" s="63"/>
      <c r="D280" s="64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</row>
    <row r="281">
      <c r="A281" s="62"/>
      <c r="B281" s="63"/>
      <c r="C281" s="63"/>
      <c r="D281" s="64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</row>
    <row r="282">
      <c r="A282" s="62"/>
      <c r="B282" s="63"/>
      <c r="C282" s="63"/>
      <c r="D282" s="64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</row>
    <row r="283">
      <c r="A283" s="62"/>
      <c r="B283" s="63"/>
      <c r="C283" s="63"/>
      <c r="D283" s="64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</row>
    <row r="284">
      <c r="A284" s="62"/>
      <c r="B284" s="63"/>
      <c r="C284" s="63"/>
      <c r="D284" s="64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</row>
    <row r="285">
      <c r="A285" s="62"/>
      <c r="B285" s="63"/>
      <c r="C285" s="63"/>
      <c r="D285" s="64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</row>
    <row r="286">
      <c r="A286" s="62"/>
      <c r="B286" s="63"/>
      <c r="C286" s="63"/>
      <c r="D286" s="64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</row>
    <row r="287">
      <c r="A287" s="62"/>
      <c r="B287" s="63"/>
      <c r="C287" s="63"/>
      <c r="D287" s="64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</row>
    <row r="288">
      <c r="A288" s="62"/>
      <c r="B288" s="63"/>
      <c r="C288" s="63"/>
      <c r="D288" s="64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</row>
    <row r="289">
      <c r="A289" s="62"/>
      <c r="B289" s="63"/>
      <c r="C289" s="63"/>
      <c r="D289" s="64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</row>
    <row r="290">
      <c r="A290" s="62"/>
      <c r="B290" s="63"/>
      <c r="C290" s="63"/>
      <c r="D290" s="64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</row>
    <row r="291">
      <c r="A291" s="62"/>
      <c r="B291" s="63"/>
      <c r="C291" s="63"/>
      <c r="D291" s="64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</row>
    <row r="292">
      <c r="A292" s="62"/>
      <c r="B292" s="63"/>
      <c r="C292" s="63"/>
      <c r="D292" s="64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</row>
    <row r="293">
      <c r="A293" s="62"/>
      <c r="B293" s="63"/>
      <c r="C293" s="63"/>
      <c r="D293" s="64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</row>
    <row r="294">
      <c r="A294" s="62"/>
      <c r="B294" s="63"/>
      <c r="C294" s="63"/>
      <c r="D294" s="64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</row>
    <row r="295">
      <c r="A295" s="62"/>
      <c r="B295" s="63"/>
      <c r="C295" s="63"/>
      <c r="D295" s="64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</row>
    <row r="296">
      <c r="A296" s="62"/>
      <c r="B296" s="63"/>
      <c r="C296" s="63"/>
      <c r="D296" s="64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</row>
    <row r="297">
      <c r="A297" s="62"/>
      <c r="B297" s="63"/>
      <c r="C297" s="63"/>
      <c r="D297" s="64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</row>
    <row r="298">
      <c r="A298" s="62"/>
      <c r="B298" s="63"/>
      <c r="C298" s="63"/>
      <c r="D298" s="64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</row>
    <row r="299">
      <c r="A299" s="62"/>
      <c r="B299" s="63"/>
      <c r="C299" s="63"/>
      <c r="D299" s="64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</row>
    <row r="300">
      <c r="A300" s="62"/>
      <c r="B300" s="63"/>
      <c r="C300" s="63"/>
      <c r="D300" s="64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</row>
    <row r="301">
      <c r="A301" s="62"/>
      <c r="B301" s="63"/>
      <c r="C301" s="63"/>
      <c r="D301" s="64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</row>
    <row r="302">
      <c r="A302" s="62"/>
      <c r="B302" s="63"/>
      <c r="C302" s="63"/>
      <c r="D302" s="64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</row>
    <row r="303">
      <c r="A303" s="62"/>
      <c r="B303" s="63"/>
      <c r="C303" s="63"/>
      <c r="D303" s="64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</row>
    <row r="304">
      <c r="A304" s="62"/>
      <c r="B304" s="63"/>
      <c r="C304" s="63"/>
      <c r="D304" s="64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</row>
    <row r="305">
      <c r="A305" s="62"/>
      <c r="B305" s="63"/>
      <c r="C305" s="63"/>
      <c r="D305" s="64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</row>
    <row r="306">
      <c r="A306" s="62"/>
      <c r="B306" s="63"/>
      <c r="C306" s="63"/>
      <c r="D306" s="64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</row>
    <row r="307">
      <c r="A307" s="62"/>
      <c r="B307" s="63"/>
      <c r="C307" s="63"/>
      <c r="D307" s="64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</row>
    <row r="308">
      <c r="A308" s="62"/>
      <c r="B308" s="63"/>
      <c r="C308" s="63"/>
      <c r="D308" s="64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</row>
    <row r="309">
      <c r="A309" s="62"/>
      <c r="B309" s="63"/>
      <c r="C309" s="63"/>
      <c r="D309" s="64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</row>
    <row r="310">
      <c r="A310" s="62"/>
      <c r="B310" s="63"/>
      <c r="C310" s="63"/>
      <c r="D310" s="64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</row>
    <row r="311">
      <c r="A311" s="62"/>
      <c r="B311" s="63"/>
      <c r="C311" s="63"/>
      <c r="D311" s="64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</row>
    <row r="312">
      <c r="A312" s="62"/>
      <c r="B312" s="63"/>
      <c r="C312" s="63"/>
      <c r="D312" s="64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</row>
    <row r="313">
      <c r="A313" s="62"/>
      <c r="B313" s="63"/>
      <c r="C313" s="63"/>
      <c r="D313" s="64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</row>
    <row r="314">
      <c r="A314" s="62"/>
      <c r="B314" s="63"/>
      <c r="C314" s="63"/>
      <c r="D314" s="64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</row>
    <row r="315">
      <c r="A315" s="62"/>
      <c r="B315" s="63"/>
      <c r="C315" s="63"/>
      <c r="D315" s="64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</row>
    <row r="316">
      <c r="A316" s="62"/>
      <c r="B316" s="63"/>
      <c r="C316" s="63"/>
      <c r="D316" s="64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</row>
    <row r="317">
      <c r="A317" s="62"/>
      <c r="B317" s="63"/>
      <c r="C317" s="63"/>
      <c r="D317" s="64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</row>
    <row r="318">
      <c r="A318" s="62"/>
      <c r="B318" s="63"/>
      <c r="C318" s="63"/>
      <c r="D318" s="64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</row>
    <row r="319">
      <c r="A319" s="62"/>
      <c r="B319" s="63"/>
      <c r="C319" s="63"/>
      <c r="D319" s="64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</row>
    <row r="320">
      <c r="A320" s="62"/>
      <c r="B320" s="63"/>
      <c r="C320" s="63"/>
      <c r="D320" s="64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</row>
    <row r="321">
      <c r="A321" s="62"/>
      <c r="B321" s="63"/>
      <c r="C321" s="63"/>
      <c r="D321" s="64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</row>
    <row r="322">
      <c r="A322" s="62"/>
      <c r="B322" s="63"/>
      <c r="C322" s="63"/>
      <c r="D322" s="64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</row>
    <row r="323">
      <c r="A323" s="62"/>
      <c r="B323" s="63"/>
      <c r="C323" s="63"/>
      <c r="D323" s="64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</row>
    <row r="324">
      <c r="A324" s="62"/>
      <c r="B324" s="63"/>
      <c r="C324" s="63"/>
      <c r="D324" s="64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</row>
    <row r="325">
      <c r="A325" s="62"/>
      <c r="B325" s="63"/>
      <c r="C325" s="63"/>
      <c r="D325" s="64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</row>
    <row r="326">
      <c r="A326" s="62"/>
      <c r="B326" s="63"/>
      <c r="C326" s="63"/>
      <c r="D326" s="64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</row>
    <row r="327">
      <c r="A327" s="62"/>
      <c r="B327" s="63"/>
      <c r="C327" s="63"/>
      <c r="D327" s="64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</row>
    <row r="328">
      <c r="A328" s="62"/>
      <c r="B328" s="63"/>
      <c r="C328" s="63"/>
      <c r="D328" s="64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</row>
    <row r="329">
      <c r="A329" s="62"/>
      <c r="B329" s="63"/>
      <c r="C329" s="63"/>
      <c r="D329" s="64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</row>
    <row r="330">
      <c r="A330" s="62"/>
      <c r="B330" s="63"/>
      <c r="C330" s="63"/>
      <c r="D330" s="64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</row>
    <row r="331">
      <c r="A331" s="62"/>
      <c r="B331" s="63"/>
      <c r="C331" s="63"/>
      <c r="D331" s="64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</row>
    <row r="332">
      <c r="A332" s="62"/>
      <c r="B332" s="63"/>
      <c r="C332" s="63"/>
      <c r="D332" s="64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</row>
    <row r="333">
      <c r="A333" s="62"/>
      <c r="B333" s="63"/>
      <c r="C333" s="63"/>
      <c r="D333" s="64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</row>
    <row r="334">
      <c r="A334" s="62"/>
      <c r="B334" s="63"/>
      <c r="C334" s="63"/>
      <c r="D334" s="64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</row>
    <row r="335">
      <c r="A335" s="62"/>
      <c r="B335" s="63"/>
      <c r="C335" s="63"/>
      <c r="D335" s="64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</row>
    <row r="336">
      <c r="A336" s="62"/>
      <c r="B336" s="63"/>
      <c r="C336" s="63"/>
      <c r="D336" s="64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</row>
    <row r="337">
      <c r="A337" s="62"/>
      <c r="B337" s="63"/>
      <c r="C337" s="63"/>
      <c r="D337" s="64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</row>
    <row r="338">
      <c r="A338" s="62"/>
      <c r="B338" s="63"/>
      <c r="C338" s="63"/>
      <c r="D338" s="64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</row>
    <row r="339">
      <c r="A339" s="62"/>
      <c r="B339" s="63"/>
      <c r="C339" s="63"/>
      <c r="D339" s="64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</row>
    <row r="340">
      <c r="A340" s="62"/>
      <c r="B340" s="63"/>
      <c r="C340" s="63"/>
      <c r="D340" s="64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</row>
    <row r="341">
      <c r="A341" s="62"/>
      <c r="B341" s="63"/>
      <c r="C341" s="63"/>
      <c r="D341" s="64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</row>
    <row r="342">
      <c r="A342" s="62"/>
      <c r="B342" s="63"/>
      <c r="C342" s="63"/>
      <c r="D342" s="64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</row>
    <row r="343">
      <c r="A343" s="62"/>
      <c r="B343" s="63"/>
      <c r="C343" s="63"/>
      <c r="D343" s="64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</row>
    <row r="344">
      <c r="A344" s="62"/>
      <c r="B344" s="63"/>
      <c r="C344" s="63"/>
      <c r="D344" s="64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</row>
    <row r="345">
      <c r="A345" s="62"/>
      <c r="B345" s="63"/>
      <c r="C345" s="63"/>
      <c r="D345" s="64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</row>
    <row r="346">
      <c r="A346" s="62"/>
      <c r="B346" s="63"/>
      <c r="C346" s="63"/>
      <c r="D346" s="64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</row>
    <row r="347">
      <c r="A347" s="62"/>
      <c r="B347" s="63"/>
      <c r="C347" s="63"/>
      <c r="D347" s="64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</row>
    <row r="348">
      <c r="A348" s="62"/>
      <c r="B348" s="63"/>
      <c r="C348" s="63"/>
      <c r="D348" s="64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</row>
    <row r="349">
      <c r="A349" s="62"/>
      <c r="B349" s="63"/>
      <c r="C349" s="63"/>
      <c r="D349" s="64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</row>
    <row r="350">
      <c r="A350" s="62"/>
      <c r="B350" s="63"/>
      <c r="C350" s="63"/>
      <c r="D350" s="64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</row>
    <row r="351">
      <c r="A351" s="62"/>
      <c r="B351" s="63"/>
      <c r="C351" s="63"/>
      <c r="D351" s="64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</row>
    <row r="352">
      <c r="A352" s="62"/>
      <c r="B352" s="63"/>
      <c r="C352" s="63"/>
      <c r="D352" s="64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</row>
    <row r="353">
      <c r="A353" s="62"/>
      <c r="B353" s="63"/>
      <c r="C353" s="63"/>
      <c r="D353" s="64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</row>
    <row r="354">
      <c r="A354" s="62"/>
      <c r="B354" s="63"/>
      <c r="C354" s="63"/>
      <c r="D354" s="64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</row>
    <row r="355">
      <c r="A355" s="62"/>
      <c r="B355" s="63"/>
      <c r="C355" s="63"/>
      <c r="D355" s="64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</row>
    <row r="356">
      <c r="A356" s="62"/>
      <c r="B356" s="63"/>
      <c r="C356" s="63"/>
      <c r="D356" s="64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</row>
    <row r="357">
      <c r="A357" s="62"/>
      <c r="B357" s="63"/>
      <c r="C357" s="63"/>
      <c r="D357" s="64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</row>
    <row r="358">
      <c r="A358" s="62"/>
      <c r="B358" s="63"/>
      <c r="C358" s="63"/>
      <c r="D358" s="64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</row>
    <row r="359">
      <c r="A359" s="62"/>
      <c r="B359" s="63"/>
      <c r="C359" s="63"/>
      <c r="D359" s="64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</row>
    <row r="360">
      <c r="A360" s="62"/>
      <c r="B360" s="63"/>
      <c r="C360" s="63"/>
      <c r="D360" s="64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</row>
    <row r="361">
      <c r="A361" s="62"/>
      <c r="B361" s="63"/>
      <c r="C361" s="63"/>
      <c r="D361" s="64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</row>
    <row r="362">
      <c r="A362" s="62"/>
      <c r="B362" s="63"/>
      <c r="C362" s="63"/>
      <c r="D362" s="64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</row>
    <row r="363">
      <c r="A363" s="62"/>
      <c r="B363" s="63"/>
      <c r="C363" s="63"/>
      <c r="D363" s="64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</row>
    <row r="364">
      <c r="A364" s="62"/>
      <c r="B364" s="63"/>
      <c r="C364" s="63"/>
      <c r="D364" s="64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</row>
    <row r="365">
      <c r="A365" s="62"/>
      <c r="B365" s="63"/>
      <c r="C365" s="63"/>
      <c r="D365" s="64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</row>
    <row r="366">
      <c r="A366" s="62"/>
      <c r="B366" s="63"/>
      <c r="C366" s="63"/>
      <c r="D366" s="64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</row>
    <row r="367">
      <c r="A367" s="62"/>
      <c r="B367" s="63"/>
      <c r="C367" s="63"/>
      <c r="D367" s="64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</row>
    <row r="368">
      <c r="A368" s="62"/>
      <c r="B368" s="63"/>
      <c r="C368" s="63"/>
      <c r="D368" s="64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</row>
    <row r="369">
      <c r="A369" s="62"/>
      <c r="B369" s="63"/>
      <c r="C369" s="63"/>
      <c r="D369" s="64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</row>
    <row r="370">
      <c r="A370" s="62"/>
      <c r="B370" s="63"/>
      <c r="C370" s="63"/>
      <c r="D370" s="64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</row>
    <row r="371">
      <c r="A371" s="62"/>
      <c r="B371" s="63"/>
      <c r="C371" s="63"/>
      <c r="D371" s="64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</row>
    <row r="372">
      <c r="A372" s="62"/>
      <c r="B372" s="63"/>
      <c r="C372" s="63"/>
      <c r="D372" s="64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</row>
    <row r="373">
      <c r="A373" s="62"/>
      <c r="B373" s="63"/>
      <c r="C373" s="63"/>
      <c r="D373" s="64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</row>
    <row r="374">
      <c r="A374" s="62"/>
      <c r="B374" s="63"/>
      <c r="C374" s="63"/>
      <c r="D374" s="64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</row>
    <row r="375">
      <c r="A375" s="62"/>
      <c r="B375" s="63"/>
      <c r="C375" s="63"/>
      <c r="D375" s="64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</row>
    <row r="376">
      <c r="A376" s="62"/>
      <c r="B376" s="63"/>
      <c r="C376" s="63"/>
      <c r="D376" s="64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</row>
    <row r="377">
      <c r="A377" s="62"/>
      <c r="B377" s="63"/>
      <c r="C377" s="63"/>
      <c r="D377" s="64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</row>
    <row r="378">
      <c r="A378" s="62"/>
      <c r="B378" s="63"/>
      <c r="C378" s="63"/>
      <c r="D378" s="64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</row>
    <row r="379">
      <c r="A379" s="62"/>
      <c r="B379" s="63"/>
      <c r="C379" s="63"/>
      <c r="D379" s="64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</row>
    <row r="380">
      <c r="A380" s="62"/>
      <c r="B380" s="63"/>
      <c r="C380" s="63"/>
      <c r="D380" s="64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</row>
    <row r="381">
      <c r="A381" s="62"/>
      <c r="B381" s="63"/>
      <c r="C381" s="63"/>
      <c r="D381" s="64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</row>
    <row r="382">
      <c r="A382" s="62"/>
      <c r="B382" s="63"/>
      <c r="C382" s="63"/>
      <c r="D382" s="64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</row>
    <row r="383">
      <c r="A383" s="62"/>
      <c r="B383" s="63"/>
      <c r="C383" s="63"/>
      <c r="D383" s="64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</row>
    <row r="384">
      <c r="A384" s="62"/>
      <c r="B384" s="63"/>
      <c r="C384" s="63"/>
      <c r="D384" s="64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</row>
    <row r="385">
      <c r="A385" s="62"/>
      <c r="B385" s="63"/>
      <c r="C385" s="63"/>
      <c r="D385" s="64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</row>
    <row r="386">
      <c r="A386" s="62"/>
      <c r="B386" s="63"/>
      <c r="C386" s="63"/>
      <c r="D386" s="64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</row>
    <row r="387">
      <c r="A387" s="62"/>
      <c r="B387" s="63"/>
      <c r="C387" s="63"/>
      <c r="D387" s="64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</row>
    <row r="388">
      <c r="A388" s="62"/>
      <c r="B388" s="63"/>
      <c r="C388" s="63"/>
      <c r="D388" s="64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</row>
    <row r="389">
      <c r="A389" s="62"/>
      <c r="B389" s="63"/>
      <c r="C389" s="63"/>
      <c r="D389" s="64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</row>
    <row r="390">
      <c r="A390" s="62"/>
      <c r="B390" s="63"/>
      <c r="C390" s="63"/>
      <c r="D390" s="64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</row>
    <row r="391">
      <c r="A391" s="62"/>
      <c r="B391" s="63"/>
      <c r="C391" s="63"/>
      <c r="D391" s="64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</row>
    <row r="392">
      <c r="A392" s="62"/>
      <c r="B392" s="63"/>
      <c r="C392" s="63"/>
      <c r="D392" s="64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</row>
    <row r="393">
      <c r="A393" s="62"/>
      <c r="B393" s="63"/>
      <c r="C393" s="63"/>
      <c r="D393" s="64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</row>
    <row r="394">
      <c r="A394" s="62"/>
      <c r="B394" s="63"/>
      <c r="C394" s="63"/>
      <c r="D394" s="64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</row>
    <row r="395">
      <c r="A395" s="62"/>
      <c r="B395" s="63"/>
      <c r="C395" s="63"/>
      <c r="D395" s="64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</row>
    <row r="396">
      <c r="A396" s="62"/>
      <c r="B396" s="63"/>
      <c r="C396" s="63"/>
      <c r="D396" s="64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</row>
    <row r="397">
      <c r="A397" s="62"/>
      <c r="B397" s="63"/>
      <c r="C397" s="63"/>
      <c r="D397" s="64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</row>
    <row r="398">
      <c r="A398" s="62"/>
      <c r="B398" s="63"/>
      <c r="C398" s="63"/>
      <c r="D398" s="64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</row>
    <row r="399">
      <c r="A399" s="62"/>
      <c r="B399" s="63"/>
      <c r="C399" s="63"/>
      <c r="D399" s="64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</row>
    <row r="400">
      <c r="A400" s="62"/>
      <c r="B400" s="63"/>
      <c r="C400" s="63"/>
      <c r="D400" s="64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</row>
    <row r="401">
      <c r="A401" s="62"/>
      <c r="B401" s="63"/>
      <c r="C401" s="63"/>
      <c r="D401" s="64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</row>
    <row r="402">
      <c r="A402" s="62"/>
      <c r="B402" s="63"/>
      <c r="C402" s="63"/>
      <c r="D402" s="64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</row>
    <row r="403">
      <c r="A403" s="62"/>
      <c r="B403" s="63"/>
      <c r="C403" s="63"/>
      <c r="D403" s="64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</row>
    <row r="404">
      <c r="A404" s="62"/>
      <c r="B404" s="63"/>
      <c r="C404" s="63"/>
      <c r="D404" s="64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</row>
    <row r="405">
      <c r="A405" s="62"/>
      <c r="B405" s="63"/>
      <c r="C405" s="63"/>
      <c r="D405" s="64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</row>
    <row r="406">
      <c r="A406" s="62"/>
      <c r="B406" s="63"/>
      <c r="C406" s="63"/>
      <c r="D406" s="64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</row>
    <row r="407">
      <c r="A407" s="62"/>
      <c r="B407" s="63"/>
      <c r="C407" s="63"/>
      <c r="D407" s="64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</row>
    <row r="408">
      <c r="A408" s="62"/>
      <c r="B408" s="63"/>
      <c r="C408" s="63"/>
      <c r="D408" s="64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</row>
    <row r="409">
      <c r="A409" s="62"/>
      <c r="B409" s="63"/>
      <c r="C409" s="63"/>
      <c r="D409" s="64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</row>
    <row r="410">
      <c r="A410" s="62"/>
      <c r="B410" s="63"/>
      <c r="C410" s="63"/>
      <c r="D410" s="64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</row>
    <row r="411">
      <c r="A411" s="62"/>
      <c r="B411" s="63"/>
      <c r="C411" s="63"/>
      <c r="D411" s="64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</row>
    <row r="412">
      <c r="A412" s="62"/>
      <c r="B412" s="63"/>
      <c r="C412" s="63"/>
      <c r="D412" s="64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</row>
    <row r="413">
      <c r="A413" s="62"/>
      <c r="B413" s="63"/>
      <c r="C413" s="63"/>
      <c r="D413" s="64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</row>
    <row r="414">
      <c r="A414" s="62"/>
      <c r="B414" s="63"/>
      <c r="C414" s="63"/>
      <c r="D414" s="64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</row>
    <row r="415">
      <c r="A415" s="62"/>
      <c r="B415" s="63"/>
      <c r="C415" s="63"/>
      <c r="D415" s="64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</row>
    <row r="416">
      <c r="A416" s="62"/>
      <c r="B416" s="63"/>
      <c r="C416" s="63"/>
      <c r="D416" s="64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</row>
    <row r="417">
      <c r="A417" s="62"/>
      <c r="B417" s="63"/>
      <c r="C417" s="63"/>
      <c r="D417" s="64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</row>
    <row r="418">
      <c r="A418" s="62"/>
      <c r="B418" s="63"/>
      <c r="C418" s="63"/>
      <c r="D418" s="64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</row>
    <row r="419">
      <c r="A419" s="62"/>
      <c r="B419" s="63"/>
      <c r="C419" s="63"/>
      <c r="D419" s="64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</row>
    <row r="420">
      <c r="A420" s="62"/>
      <c r="B420" s="63"/>
      <c r="C420" s="63"/>
      <c r="D420" s="64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</row>
    <row r="421">
      <c r="A421" s="62"/>
      <c r="B421" s="63"/>
      <c r="C421" s="63"/>
      <c r="D421" s="64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</row>
    <row r="422">
      <c r="A422" s="62"/>
      <c r="B422" s="63"/>
      <c r="C422" s="63"/>
      <c r="D422" s="64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</row>
    <row r="423">
      <c r="A423" s="62"/>
      <c r="B423" s="63"/>
      <c r="C423" s="63"/>
      <c r="D423" s="64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</row>
    <row r="424">
      <c r="A424" s="62"/>
      <c r="B424" s="63"/>
      <c r="C424" s="63"/>
      <c r="D424" s="64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</row>
    <row r="425">
      <c r="A425" s="62"/>
      <c r="B425" s="63"/>
      <c r="C425" s="63"/>
      <c r="D425" s="64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</row>
    <row r="426">
      <c r="A426" s="62"/>
      <c r="B426" s="63"/>
      <c r="C426" s="63"/>
      <c r="D426" s="64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</row>
    <row r="427">
      <c r="A427" s="62"/>
      <c r="B427" s="63"/>
      <c r="C427" s="63"/>
      <c r="D427" s="64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</row>
    <row r="428">
      <c r="A428" s="62"/>
      <c r="B428" s="63"/>
      <c r="C428" s="63"/>
      <c r="D428" s="64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</row>
    <row r="429">
      <c r="A429" s="62"/>
      <c r="B429" s="63"/>
      <c r="C429" s="63"/>
      <c r="D429" s="64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</row>
    <row r="430">
      <c r="A430" s="62"/>
      <c r="B430" s="63"/>
      <c r="C430" s="63"/>
      <c r="D430" s="64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</row>
    <row r="431">
      <c r="A431" s="62"/>
      <c r="B431" s="63"/>
      <c r="C431" s="63"/>
      <c r="D431" s="64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</row>
    <row r="432">
      <c r="A432" s="62"/>
      <c r="B432" s="63"/>
      <c r="C432" s="63"/>
      <c r="D432" s="64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</row>
    <row r="433">
      <c r="A433" s="62"/>
      <c r="B433" s="63"/>
      <c r="C433" s="63"/>
      <c r="D433" s="64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</row>
    <row r="434">
      <c r="A434" s="62"/>
      <c r="B434" s="63"/>
      <c r="C434" s="63"/>
      <c r="D434" s="64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</row>
    <row r="435">
      <c r="A435" s="62"/>
      <c r="B435" s="63"/>
      <c r="C435" s="63"/>
      <c r="D435" s="64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</row>
    <row r="436">
      <c r="A436" s="62"/>
      <c r="B436" s="63"/>
      <c r="C436" s="63"/>
      <c r="D436" s="64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</row>
    <row r="437">
      <c r="A437" s="62"/>
      <c r="B437" s="63"/>
      <c r="C437" s="63"/>
      <c r="D437" s="64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</row>
    <row r="438">
      <c r="A438" s="62"/>
      <c r="B438" s="63"/>
      <c r="C438" s="63"/>
      <c r="D438" s="64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</row>
    <row r="439">
      <c r="A439" s="62"/>
      <c r="B439" s="63"/>
      <c r="C439" s="63"/>
      <c r="D439" s="64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</row>
    <row r="440">
      <c r="A440" s="62"/>
      <c r="B440" s="63"/>
      <c r="C440" s="63"/>
      <c r="D440" s="64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</row>
    <row r="441">
      <c r="A441" s="62"/>
      <c r="B441" s="63"/>
      <c r="C441" s="63"/>
      <c r="D441" s="64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</row>
    <row r="442">
      <c r="A442" s="62"/>
      <c r="B442" s="63"/>
      <c r="C442" s="63"/>
      <c r="D442" s="64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</row>
    <row r="443">
      <c r="A443" s="62"/>
      <c r="B443" s="63"/>
      <c r="C443" s="63"/>
      <c r="D443" s="64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</row>
    <row r="444">
      <c r="A444" s="62"/>
      <c r="B444" s="63"/>
      <c r="C444" s="63"/>
      <c r="D444" s="64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</row>
    <row r="445">
      <c r="A445" s="62"/>
      <c r="B445" s="63"/>
      <c r="C445" s="63"/>
      <c r="D445" s="64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</row>
    <row r="446">
      <c r="A446" s="62"/>
      <c r="B446" s="63"/>
      <c r="C446" s="63"/>
      <c r="D446" s="64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</row>
    <row r="447">
      <c r="A447" s="62"/>
      <c r="B447" s="63"/>
      <c r="C447" s="63"/>
      <c r="D447" s="64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</row>
    <row r="448">
      <c r="A448" s="62"/>
      <c r="B448" s="63"/>
      <c r="C448" s="63"/>
      <c r="D448" s="64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</row>
    <row r="449">
      <c r="A449" s="62"/>
      <c r="B449" s="63"/>
      <c r="C449" s="63"/>
      <c r="D449" s="64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</row>
    <row r="450">
      <c r="A450" s="62"/>
      <c r="B450" s="63"/>
      <c r="C450" s="63"/>
      <c r="D450" s="64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</row>
    <row r="451">
      <c r="A451" s="62"/>
      <c r="B451" s="63"/>
      <c r="C451" s="63"/>
      <c r="D451" s="64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</row>
    <row r="452">
      <c r="A452" s="62"/>
      <c r="B452" s="63"/>
      <c r="C452" s="63"/>
      <c r="D452" s="64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</row>
    <row r="453">
      <c r="A453" s="62"/>
      <c r="B453" s="63"/>
      <c r="C453" s="63"/>
      <c r="D453" s="64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</row>
    <row r="454">
      <c r="A454" s="62"/>
      <c r="B454" s="63"/>
      <c r="C454" s="63"/>
      <c r="D454" s="64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</row>
    <row r="455">
      <c r="A455" s="62"/>
      <c r="B455" s="63"/>
      <c r="C455" s="63"/>
      <c r="D455" s="64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</row>
    <row r="456">
      <c r="A456" s="62"/>
      <c r="B456" s="63"/>
      <c r="C456" s="63"/>
      <c r="D456" s="64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</row>
    <row r="457">
      <c r="A457" s="62"/>
      <c r="B457" s="63"/>
      <c r="C457" s="63"/>
      <c r="D457" s="64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</row>
    <row r="458">
      <c r="A458" s="62"/>
      <c r="B458" s="63"/>
      <c r="C458" s="63"/>
      <c r="D458" s="64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</row>
    <row r="459">
      <c r="A459" s="62"/>
      <c r="B459" s="63"/>
      <c r="C459" s="63"/>
      <c r="D459" s="64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</row>
    <row r="460">
      <c r="A460" s="62"/>
      <c r="B460" s="63"/>
      <c r="C460" s="63"/>
      <c r="D460" s="64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</row>
    <row r="461">
      <c r="A461" s="62"/>
      <c r="B461" s="63"/>
      <c r="C461" s="63"/>
      <c r="D461" s="64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</row>
    <row r="462">
      <c r="A462" s="62"/>
      <c r="B462" s="63"/>
      <c r="C462" s="63"/>
      <c r="D462" s="64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</row>
    <row r="463">
      <c r="A463" s="62"/>
      <c r="B463" s="63"/>
      <c r="C463" s="63"/>
      <c r="D463" s="64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</row>
    <row r="464">
      <c r="A464" s="62"/>
      <c r="B464" s="63"/>
      <c r="C464" s="63"/>
      <c r="D464" s="64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</row>
    <row r="465">
      <c r="A465" s="62"/>
      <c r="B465" s="63"/>
      <c r="C465" s="63"/>
      <c r="D465" s="64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</row>
    <row r="466">
      <c r="A466" s="62"/>
      <c r="B466" s="63"/>
      <c r="C466" s="63"/>
      <c r="D466" s="64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</row>
    <row r="467">
      <c r="A467" s="62"/>
      <c r="B467" s="63"/>
      <c r="C467" s="63"/>
      <c r="D467" s="64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</row>
    <row r="468">
      <c r="A468" s="62"/>
      <c r="B468" s="63"/>
      <c r="C468" s="63"/>
      <c r="D468" s="64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</row>
    <row r="469">
      <c r="A469" s="62"/>
      <c r="B469" s="63"/>
      <c r="C469" s="63"/>
      <c r="D469" s="64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</row>
    <row r="470">
      <c r="A470" s="62"/>
      <c r="B470" s="63"/>
      <c r="C470" s="63"/>
      <c r="D470" s="64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</row>
    <row r="471">
      <c r="A471" s="62"/>
      <c r="B471" s="63"/>
      <c r="C471" s="63"/>
      <c r="D471" s="64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</row>
    <row r="472">
      <c r="A472" s="62"/>
      <c r="B472" s="63"/>
      <c r="C472" s="63"/>
      <c r="D472" s="64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</row>
    <row r="473">
      <c r="A473" s="62"/>
      <c r="B473" s="63"/>
      <c r="C473" s="63"/>
      <c r="D473" s="64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</row>
    <row r="474">
      <c r="A474" s="62"/>
      <c r="B474" s="63"/>
      <c r="C474" s="63"/>
      <c r="D474" s="64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</row>
    <row r="475">
      <c r="A475" s="62"/>
      <c r="B475" s="63"/>
      <c r="C475" s="63"/>
      <c r="D475" s="64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</row>
    <row r="476">
      <c r="A476" s="62"/>
      <c r="B476" s="63"/>
      <c r="C476" s="63"/>
      <c r="D476" s="64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</row>
    <row r="477">
      <c r="A477" s="62"/>
      <c r="B477" s="63"/>
      <c r="C477" s="63"/>
      <c r="D477" s="64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</row>
    <row r="478">
      <c r="A478" s="62"/>
      <c r="B478" s="63"/>
      <c r="C478" s="63"/>
      <c r="D478" s="64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</row>
    <row r="479">
      <c r="A479" s="62"/>
      <c r="B479" s="63"/>
      <c r="C479" s="63"/>
      <c r="D479" s="64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</row>
    <row r="480">
      <c r="A480" s="62"/>
      <c r="B480" s="63"/>
      <c r="C480" s="63"/>
      <c r="D480" s="64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</row>
    <row r="481">
      <c r="A481" s="62"/>
      <c r="B481" s="63"/>
      <c r="C481" s="63"/>
      <c r="D481" s="64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</row>
    <row r="482">
      <c r="A482" s="62"/>
      <c r="B482" s="63"/>
      <c r="C482" s="63"/>
      <c r="D482" s="64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</row>
    <row r="483">
      <c r="A483" s="62"/>
      <c r="B483" s="63"/>
      <c r="C483" s="63"/>
      <c r="D483" s="64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</row>
    <row r="484">
      <c r="A484" s="62"/>
      <c r="B484" s="63"/>
      <c r="C484" s="63"/>
      <c r="D484" s="64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</row>
    <row r="485">
      <c r="A485" s="62"/>
      <c r="B485" s="63"/>
      <c r="C485" s="63"/>
      <c r="D485" s="64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</row>
    <row r="486">
      <c r="A486" s="62"/>
      <c r="B486" s="63"/>
      <c r="C486" s="63"/>
      <c r="D486" s="64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</row>
    <row r="487">
      <c r="A487" s="62"/>
      <c r="B487" s="63"/>
      <c r="C487" s="63"/>
      <c r="D487" s="64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</row>
    <row r="488">
      <c r="A488" s="62"/>
      <c r="B488" s="63"/>
      <c r="C488" s="63"/>
      <c r="D488" s="64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</row>
    <row r="489">
      <c r="A489" s="62"/>
      <c r="B489" s="63"/>
      <c r="C489" s="63"/>
      <c r="D489" s="64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</row>
    <row r="490">
      <c r="A490" s="62"/>
      <c r="B490" s="63"/>
      <c r="C490" s="63"/>
      <c r="D490" s="64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</row>
    <row r="491">
      <c r="A491" s="62"/>
      <c r="B491" s="63"/>
      <c r="C491" s="63"/>
      <c r="D491" s="64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</row>
    <row r="492">
      <c r="A492" s="62"/>
      <c r="B492" s="63"/>
      <c r="C492" s="63"/>
      <c r="D492" s="64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</row>
    <row r="493">
      <c r="A493" s="62"/>
      <c r="B493" s="63"/>
      <c r="C493" s="63"/>
      <c r="D493" s="64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</row>
    <row r="494">
      <c r="A494" s="62"/>
      <c r="B494" s="63"/>
      <c r="C494" s="63"/>
      <c r="D494" s="64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</row>
    <row r="495">
      <c r="A495" s="62"/>
      <c r="B495" s="63"/>
      <c r="C495" s="63"/>
      <c r="D495" s="64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</row>
    <row r="496">
      <c r="A496" s="62"/>
      <c r="B496" s="63"/>
      <c r="C496" s="63"/>
      <c r="D496" s="64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</row>
    <row r="497">
      <c r="A497" s="62"/>
      <c r="B497" s="63"/>
      <c r="C497" s="63"/>
      <c r="D497" s="64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</row>
    <row r="498">
      <c r="A498" s="62"/>
      <c r="B498" s="63"/>
      <c r="C498" s="63"/>
      <c r="D498" s="64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</row>
    <row r="499">
      <c r="A499" s="62"/>
      <c r="B499" s="63"/>
      <c r="C499" s="63"/>
      <c r="D499" s="64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</row>
    <row r="500">
      <c r="A500" s="62"/>
      <c r="B500" s="63"/>
      <c r="C500" s="63"/>
      <c r="D500" s="64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</row>
    <row r="501">
      <c r="A501" s="62"/>
      <c r="B501" s="63"/>
      <c r="C501" s="63"/>
      <c r="D501" s="64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</row>
    <row r="502">
      <c r="A502" s="62"/>
      <c r="B502" s="63"/>
      <c r="C502" s="63"/>
      <c r="D502" s="64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</row>
    <row r="503">
      <c r="A503" s="62"/>
      <c r="B503" s="63"/>
      <c r="C503" s="63"/>
      <c r="D503" s="64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</row>
    <row r="504">
      <c r="A504" s="62"/>
      <c r="B504" s="63"/>
      <c r="C504" s="63"/>
      <c r="D504" s="64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</row>
    <row r="505">
      <c r="A505" s="62"/>
      <c r="B505" s="63"/>
      <c r="C505" s="63"/>
      <c r="D505" s="64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</row>
    <row r="506">
      <c r="A506" s="62"/>
      <c r="B506" s="63"/>
      <c r="C506" s="63"/>
      <c r="D506" s="64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</row>
    <row r="507">
      <c r="A507" s="62"/>
      <c r="B507" s="63"/>
      <c r="C507" s="63"/>
      <c r="D507" s="64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</row>
    <row r="508">
      <c r="A508" s="62"/>
      <c r="B508" s="63"/>
      <c r="C508" s="63"/>
      <c r="D508" s="64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</row>
    <row r="509">
      <c r="A509" s="62"/>
      <c r="B509" s="63"/>
      <c r="C509" s="63"/>
      <c r="D509" s="64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</row>
    <row r="510">
      <c r="A510" s="62"/>
      <c r="B510" s="63"/>
      <c r="C510" s="63"/>
      <c r="D510" s="64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</row>
    <row r="511">
      <c r="A511" s="62"/>
      <c r="B511" s="63"/>
      <c r="C511" s="63"/>
      <c r="D511" s="64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</row>
    <row r="512">
      <c r="A512" s="62"/>
      <c r="B512" s="63"/>
      <c r="C512" s="63"/>
      <c r="D512" s="64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</row>
    <row r="513">
      <c r="A513" s="62"/>
      <c r="B513" s="63"/>
      <c r="C513" s="63"/>
      <c r="D513" s="64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</row>
    <row r="514">
      <c r="A514" s="62"/>
      <c r="B514" s="63"/>
      <c r="C514" s="63"/>
      <c r="D514" s="64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</row>
    <row r="515">
      <c r="A515" s="62"/>
      <c r="B515" s="63"/>
      <c r="C515" s="63"/>
      <c r="D515" s="64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</row>
    <row r="516">
      <c r="A516" s="62"/>
      <c r="B516" s="63"/>
      <c r="C516" s="63"/>
      <c r="D516" s="64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</row>
    <row r="517">
      <c r="A517" s="62"/>
      <c r="B517" s="63"/>
      <c r="C517" s="63"/>
      <c r="D517" s="64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</row>
    <row r="518">
      <c r="A518" s="62"/>
      <c r="B518" s="63"/>
      <c r="C518" s="63"/>
      <c r="D518" s="64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</row>
    <row r="519">
      <c r="A519" s="62"/>
      <c r="B519" s="63"/>
      <c r="C519" s="63"/>
      <c r="D519" s="64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</row>
    <row r="520">
      <c r="A520" s="62"/>
      <c r="B520" s="63"/>
      <c r="C520" s="63"/>
      <c r="D520" s="64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</row>
    <row r="521">
      <c r="A521" s="62"/>
      <c r="B521" s="63"/>
      <c r="C521" s="63"/>
      <c r="D521" s="64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</row>
    <row r="522">
      <c r="A522" s="62"/>
      <c r="B522" s="63"/>
      <c r="C522" s="63"/>
      <c r="D522" s="64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</row>
    <row r="523">
      <c r="A523" s="62"/>
      <c r="B523" s="63"/>
      <c r="C523" s="63"/>
      <c r="D523" s="64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</row>
    <row r="524">
      <c r="A524" s="62"/>
      <c r="B524" s="63"/>
      <c r="C524" s="63"/>
      <c r="D524" s="64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</row>
    <row r="525">
      <c r="A525" s="62"/>
      <c r="B525" s="63"/>
      <c r="C525" s="63"/>
      <c r="D525" s="64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</row>
    <row r="526">
      <c r="A526" s="62"/>
      <c r="B526" s="63"/>
      <c r="C526" s="63"/>
      <c r="D526" s="64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</row>
    <row r="527">
      <c r="A527" s="62"/>
      <c r="B527" s="63"/>
      <c r="C527" s="63"/>
      <c r="D527" s="64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</row>
    <row r="528">
      <c r="A528" s="62"/>
      <c r="B528" s="63"/>
      <c r="C528" s="63"/>
      <c r="D528" s="64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</row>
    <row r="529">
      <c r="A529" s="62"/>
      <c r="B529" s="63"/>
      <c r="C529" s="63"/>
      <c r="D529" s="64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</row>
    <row r="530">
      <c r="A530" s="62"/>
      <c r="B530" s="63"/>
      <c r="C530" s="63"/>
      <c r="D530" s="64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</row>
    <row r="531">
      <c r="A531" s="62"/>
      <c r="B531" s="63"/>
      <c r="C531" s="63"/>
      <c r="D531" s="64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</row>
    <row r="532">
      <c r="A532" s="62"/>
      <c r="B532" s="63"/>
      <c r="C532" s="63"/>
      <c r="D532" s="64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</row>
    <row r="533">
      <c r="A533" s="62"/>
      <c r="B533" s="63"/>
      <c r="C533" s="63"/>
      <c r="D533" s="64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</row>
    <row r="534">
      <c r="A534" s="62"/>
      <c r="B534" s="63"/>
      <c r="C534" s="63"/>
      <c r="D534" s="64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</row>
    <row r="535">
      <c r="A535" s="62"/>
      <c r="B535" s="63"/>
      <c r="C535" s="63"/>
      <c r="D535" s="64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</row>
    <row r="536">
      <c r="A536" s="62"/>
      <c r="B536" s="63"/>
      <c r="C536" s="63"/>
      <c r="D536" s="64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</row>
    <row r="537">
      <c r="A537" s="62"/>
      <c r="B537" s="63"/>
      <c r="C537" s="63"/>
      <c r="D537" s="64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</row>
    <row r="538">
      <c r="A538" s="62"/>
      <c r="B538" s="63"/>
      <c r="C538" s="63"/>
      <c r="D538" s="64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</row>
    <row r="539">
      <c r="A539" s="62"/>
      <c r="B539" s="63"/>
      <c r="C539" s="63"/>
      <c r="D539" s="64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</row>
    <row r="540">
      <c r="A540" s="62"/>
      <c r="B540" s="63"/>
      <c r="C540" s="63"/>
      <c r="D540" s="64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</row>
    <row r="541">
      <c r="A541" s="62"/>
      <c r="B541" s="63"/>
      <c r="C541" s="63"/>
      <c r="D541" s="64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</row>
    <row r="542">
      <c r="A542" s="62"/>
      <c r="B542" s="63"/>
      <c r="C542" s="63"/>
      <c r="D542" s="64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</row>
    <row r="543">
      <c r="A543" s="62"/>
      <c r="B543" s="63"/>
      <c r="C543" s="63"/>
      <c r="D543" s="64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</row>
    <row r="544">
      <c r="A544" s="62"/>
      <c r="B544" s="63"/>
      <c r="C544" s="63"/>
      <c r="D544" s="64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</row>
    <row r="545">
      <c r="A545" s="62"/>
      <c r="B545" s="63"/>
      <c r="C545" s="63"/>
      <c r="D545" s="64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</row>
    <row r="546">
      <c r="A546" s="62"/>
      <c r="B546" s="63"/>
      <c r="C546" s="63"/>
      <c r="D546" s="64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</row>
    <row r="547">
      <c r="A547" s="62"/>
      <c r="B547" s="63"/>
      <c r="C547" s="63"/>
      <c r="D547" s="64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</row>
    <row r="548">
      <c r="A548" s="62"/>
      <c r="B548" s="63"/>
      <c r="C548" s="63"/>
      <c r="D548" s="64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</row>
    <row r="549">
      <c r="A549" s="62"/>
      <c r="B549" s="63"/>
      <c r="C549" s="63"/>
      <c r="D549" s="64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</row>
    <row r="550">
      <c r="A550" s="62"/>
      <c r="B550" s="63"/>
      <c r="C550" s="63"/>
      <c r="D550" s="64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</row>
    <row r="551">
      <c r="A551" s="62"/>
      <c r="B551" s="63"/>
      <c r="C551" s="63"/>
      <c r="D551" s="64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</row>
    <row r="552">
      <c r="A552" s="62"/>
      <c r="B552" s="63"/>
      <c r="C552" s="63"/>
      <c r="D552" s="64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</row>
    <row r="553">
      <c r="A553" s="62"/>
      <c r="B553" s="63"/>
      <c r="C553" s="63"/>
      <c r="D553" s="64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</row>
    <row r="554">
      <c r="A554" s="62"/>
      <c r="B554" s="63"/>
      <c r="C554" s="63"/>
      <c r="D554" s="64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</row>
    <row r="555">
      <c r="A555" s="62"/>
      <c r="B555" s="63"/>
      <c r="C555" s="63"/>
      <c r="D555" s="64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</row>
    <row r="556">
      <c r="A556" s="62"/>
      <c r="B556" s="63"/>
      <c r="C556" s="63"/>
      <c r="D556" s="64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</row>
    <row r="557">
      <c r="A557" s="62"/>
      <c r="B557" s="63"/>
      <c r="C557" s="63"/>
      <c r="D557" s="64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</row>
    <row r="558">
      <c r="A558" s="62"/>
      <c r="B558" s="63"/>
      <c r="C558" s="63"/>
      <c r="D558" s="64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</row>
    <row r="559">
      <c r="A559" s="62"/>
      <c r="B559" s="63"/>
      <c r="C559" s="63"/>
      <c r="D559" s="64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</row>
    <row r="560">
      <c r="A560" s="62"/>
      <c r="B560" s="63"/>
      <c r="C560" s="63"/>
      <c r="D560" s="64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</row>
    <row r="561">
      <c r="A561" s="62"/>
      <c r="B561" s="63"/>
      <c r="C561" s="63"/>
      <c r="D561" s="64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</row>
    <row r="562">
      <c r="A562" s="62"/>
      <c r="B562" s="63"/>
      <c r="C562" s="63"/>
      <c r="D562" s="64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</row>
    <row r="563">
      <c r="A563" s="62"/>
      <c r="B563" s="63"/>
      <c r="C563" s="63"/>
      <c r="D563" s="64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</row>
    <row r="564">
      <c r="A564" s="62"/>
      <c r="B564" s="63"/>
      <c r="C564" s="63"/>
      <c r="D564" s="64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</row>
    <row r="565">
      <c r="A565" s="62"/>
      <c r="B565" s="63"/>
      <c r="C565" s="63"/>
      <c r="D565" s="64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</row>
    <row r="566">
      <c r="A566" s="62"/>
      <c r="B566" s="63"/>
      <c r="C566" s="63"/>
      <c r="D566" s="64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</row>
    <row r="567">
      <c r="A567" s="62"/>
      <c r="B567" s="63"/>
      <c r="C567" s="63"/>
      <c r="D567" s="64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</row>
    <row r="568">
      <c r="A568" s="62"/>
      <c r="B568" s="63"/>
      <c r="C568" s="63"/>
      <c r="D568" s="64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</row>
    <row r="569">
      <c r="A569" s="62"/>
      <c r="B569" s="63"/>
      <c r="C569" s="63"/>
      <c r="D569" s="64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</row>
    <row r="570">
      <c r="A570" s="62"/>
      <c r="B570" s="63"/>
      <c r="C570" s="63"/>
      <c r="D570" s="64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</row>
    <row r="571">
      <c r="A571" s="62"/>
      <c r="B571" s="63"/>
      <c r="C571" s="63"/>
      <c r="D571" s="64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</row>
    <row r="572">
      <c r="A572" s="62"/>
      <c r="B572" s="63"/>
      <c r="C572" s="63"/>
      <c r="D572" s="64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</row>
    <row r="573">
      <c r="A573" s="62"/>
      <c r="B573" s="63"/>
      <c r="C573" s="63"/>
      <c r="D573" s="64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</row>
    <row r="574">
      <c r="A574" s="62"/>
      <c r="B574" s="63"/>
      <c r="C574" s="63"/>
      <c r="D574" s="64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</row>
    <row r="575">
      <c r="A575" s="62"/>
      <c r="B575" s="63"/>
      <c r="C575" s="63"/>
      <c r="D575" s="64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</row>
    <row r="576">
      <c r="A576" s="62"/>
      <c r="B576" s="63"/>
      <c r="C576" s="63"/>
      <c r="D576" s="64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</row>
    <row r="577">
      <c r="A577" s="62"/>
      <c r="B577" s="63"/>
      <c r="C577" s="63"/>
      <c r="D577" s="64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</row>
    <row r="578">
      <c r="A578" s="62"/>
      <c r="B578" s="63"/>
      <c r="C578" s="63"/>
      <c r="D578" s="64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</row>
    <row r="579">
      <c r="A579" s="62"/>
      <c r="B579" s="63"/>
      <c r="C579" s="63"/>
      <c r="D579" s="64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</row>
    <row r="580">
      <c r="A580" s="62"/>
      <c r="B580" s="63"/>
      <c r="C580" s="63"/>
      <c r="D580" s="64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</row>
    <row r="581">
      <c r="A581" s="62"/>
      <c r="B581" s="63"/>
      <c r="C581" s="63"/>
      <c r="D581" s="64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</row>
    <row r="582">
      <c r="A582" s="62"/>
      <c r="B582" s="63"/>
      <c r="C582" s="63"/>
      <c r="D582" s="64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</row>
    <row r="583">
      <c r="A583" s="62"/>
      <c r="B583" s="63"/>
      <c r="C583" s="63"/>
      <c r="D583" s="64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</row>
    <row r="584">
      <c r="A584" s="62"/>
      <c r="B584" s="63"/>
      <c r="C584" s="63"/>
      <c r="D584" s="64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</row>
    <row r="585">
      <c r="A585" s="62"/>
      <c r="B585" s="63"/>
      <c r="C585" s="63"/>
      <c r="D585" s="64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</row>
    <row r="586">
      <c r="A586" s="62"/>
      <c r="B586" s="63"/>
      <c r="C586" s="63"/>
      <c r="D586" s="64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</row>
    <row r="587">
      <c r="A587" s="62"/>
      <c r="B587" s="63"/>
      <c r="C587" s="63"/>
      <c r="D587" s="64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</row>
    <row r="588">
      <c r="A588" s="62"/>
      <c r="B588" s="63"/>
      <c r="C588" s="63"/>
      <c r="D588" s="64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</row>
    <row r="589">
      <c r="A589" s="62"/>
      <c r="B589" s="63"/>
      <c r="C589" s="63"/>
      <c r="D589" s="64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</row>
    <row r="590">
      <c r="A590" s="62"/>
      <c r="B590" s="63"/>
      <c r="C590" s="63"/>
      <c r="D590" s="64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</row>
    <row r="591">
      <c r="A591" s="62"/>
      <c r="B591" s="63"/>
      <c r="C591" s="63"/>
      <c r="D591" s="64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</row>
    <row r="592">
      <c r="A592" s="62"/>
      <c r="B592" s="63"/>
      <c r="C592" s="63"/>
      <c r="D592" s="64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</row>
    <row r="593">
      <c r="A593" s="62"/>
      <c r="B593" s="63"/>
      <c r="C593" s="63"/>
      <c r="D593" s="64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</row>
    <row r="594">
      <c r="A594" s="62"/>
      <c r="B594" s="63"/>
      <c r="C594" s="63"/>
      <c r="D594" s="64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</row>
    <row r="595">
      <c r="A595" s="62"/>
      <c r="B595" s="63"/>
      <c r="C595" s="63"/>
      <c r="D595" s="64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</row>
    <row r="596">
      <c r="A596" s="62"/>
      <c r="B596" s="63"/>
      <c r="C596" s="63"/>
      <c r="D596" s="64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</row>
    <row r="597">
      <c r="A597" s="62"/>
      <c r="B597" s="63"/>
      <c r="C597" s="63"/>
      <c r="D597" s="64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</row>
    <row r="598">
      <c r="A598" s="62"/>
      <c r="B598" s="63"/>
      <c r="C598" s="63"/>
      <c r="D598" s="64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</row>
    <row r="599">
      <c r="A599" s="62"/>
      <c r="B599" s="63"/>
      <c r="C599" s="63"/>
      <c r="D599" s="64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</row>
    <row r="600">
      <c r="A600" s="62"/>
      <c r="B600" s="63"/>
      <c r="C600" s="63"/>
      <c r="D600" s="64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</row>
    <row r="601">
      <c r="A601" s="62"/>
      <c r="B601" s="63"/>
      <c r="C601" s="63"/>
      <c r="D601" s="64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</row>
    <row r="602">
      <c r="A602" s="62"/>
      <c r="B602" s="63"/>
      <c r="C602" s="63"/>
      <c r="D602" s="64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</row>
    <row r="603">
      <c r="A603" s="62"/>
      <c r="B603" s="63"/>
      <c r="C603" s="63"/>
      <c r="D603" s="64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</row>
    <row r="604">
      <c r="A604" s="62"/>
      <c r="B604" s="63"/>
      <c r="C604" s="63"/>
      <c r="D604" s="64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</row>
    <row r="605">
      <c r="A605" s="62"/>
      <c r="B605" s="63"/>
      <c r="C605" s="63"/>
      <c r="D605" s="64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</row>
    <row r="606">
      <c r="A606" s="62"/>
      <c r="B606" s="63"/>
      <c r="C606" s="63"/>
      <c r="D606" s="64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</row>
    <row r="607">
      <c r="A607" s="62"/>
      <c r="B607" s="63"/>
      <c r="C607" s="63"/>
      <c r="D607" s="64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</row>
    <row r="608">
      <c r="A608" s="62"/>
      <c r="B608" s="63"/>
      <c r="C608" s="63"/>
      <c r="D608" s="64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</row>
    <row r="609">
      <c r="A609" s="62"/>
      <c r="B609" s="63"/>
      <c r="C609" s="63"/>
      <c r="D609" s="64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</row>
    <row r="610">
      <c r="A610" s="62"/>
      <c r="B610" s="63"/>
      <c r="C610" s="63"/>
      <c r="D610" s="64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</row>
    <row r="611">
      <c r="A611" s="62"/>
      <c r="B611" s="63"/>
      <c r="C611" s="63"/>
      <c r="D611" s="64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</row>
    <row r="612">
      <c r="A612" s="62"/>
      <c r="B612" s="63"/>
      <c r="C612" s="63"/>
      <c r="D612" s="64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</row>
    <row r="613">
      <c r="A613" s="62"/>
      <c r="B613" s="63"/>
      <c r="C613" s="63"/>
      <c r="D613" s="64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</row>
    <row r="614">
      <c r="A614" s="62"/>
      <c r="B614" s="63"/>
      <c r="C614" s="63"/>
      <c r="D614" s="64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</row>
    <row r="615">
      <c r="A615" s="62"/>
      <c r="B615" s="63"/>
      <c r="C615" s="63"/>
      <c r="D615" s="64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</row>
    <row r="616">
      <c r="A616" s="62"/>
      <c r="B616" s="63"/>
      <c r="C616" s="63"/>
      <c r="D616" s="64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</row>
    <row r="617">
      <c r="A617" s="62"/>
      <c r="B617" s="63"/>
      <c r="C617" s="63"/>
      <c r="D617" s="64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</row>
    <row r="618">
      <c r="A618" s="62"/>
      <c r="B618" s="63"/>
      <c r="C618" s="63"/>
      <c r="D618" s="64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</row>
    <row r="619">
      <c r="A619" s="62"/>
      <c r="B619" s="63"/>
      <c r="C619" s="63"/>
      <c r="D619" s="64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</row>
    <row r="620">
      <c r="A620" s="62"/>
      <c r="B620" s="63"/>
      <c r="C620" s="63"/>
      <c r="D620" s="64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</row>
    <row r="621">
      <c r="A621" s="62"/>
      <c r="B621" s="63"/>
      <c r="C621" s="63"/>
      <c r="D621" s="64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</row>
    <row r="622">
      <c r="A622" s="62"/>
      <c r="B622" s="63"/>
      <c r="C622" s="63"/>
      <c r="D622" s="64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</row>
    <row r="623">
      <c r="A623" s="62"/>
      <c r="B623" s="63"/>
      <c r="C623" s="63"/>
      <c r="D623" s="64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</row>
    <row r="624">
      <c r="A624" s="62"/>
      <c r="B624" s="63"/>
      <c r="C624" s="63"/>
      <c r="D624" s="64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</row>
    <row r="625">
      <c r="A625" s="62"/>
      <c r="B625" s="63"/>
      <c r="C625" s="63"/>
      <c r="D625" s="64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</row>
    <row r="626">
      <c r="A626" s="62"/>
      <c r="B626" s="63"/>
      <c r="C626" s="63"/>
      <c r="D626" s="64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</row>
    <row r="627">
      <c r="A627" s="62"/>
      <c r="B627" s="63"/>
      <c r="C627" s="63"/>
      <c r="D627" s="64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</row>
    <row r="628">
      <c r="A628" s="62"/>
      <c r="B628" s="63"/>
      <c r="C628" s="63"/>
      <c r="D628" s="64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</row>
    <row r="629">
      <c r="A629" s="62"/>
      <c r="B629" s="63"/>
      <c r="C629" s="63"/>
      <c r="D629" s="64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</row>
    <row r="630">
      <c r="A630" s="62"/>
      <c r="B630" s="63"/>
      <c r="C630" s="63"/>
      <c r="D630" s="64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</row>
    <row r="631">
      <c r="A631" s="62"/>
      <c r="B631" s="63"/>
      <c r="C631" s="63"/>
      <c r="D631" s="64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</row>
    <row r="632">
      <c r="A632" s="62"/>
      <c r="B632" s="63"/>
      <c r="C632" s="63"/>
      <c r="D632" s="64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</row>
    <row r="633">
      <c r="A633" s="62"/>
      <c r="B633" s="63"/>
      <c r="C633" s="63"/>
      <c r="D633" s="64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</row>
    <row r="634">
      <c r="A634" s="62"/>
      <c r="B634" s="63"/>
      <c r="C634" s="63"/>
      <c r="D634" s="64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</row>
    <row r="635">
      <c r="A635" s="62"/>
      <c r="B635" s="63"/>
      <c r="C635" s="63"/>
      <c r="D635" s="64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</row>
    <row r="636">
      <c r="A636" s="62"/>
      <c r="B636" s="63"/>
      <c r="C636" s="63"/>
      <c r="D636" s="64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</row>
    <row r="637">
      <c r="A637" s="62"/>
      <c r="B637" s="63"/>
      <c r="C637" s="63"/>
      <c r="D637" s="64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</row>
    <row r="638">
      <c r="A638" s="62"/>
      <c r="B638" s="63"/>
      <c r="C638" s="63"/>
      <c r="D638" s="64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</row>
    <row r="639">
      <c r="A639" s="62"/>
      <c r="B639" s="63"/>
      <c r="C639" s="63"/>
      <c r="D639" s="64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</row>
    <row r="640">
      <c r="A640" s="62"/>
      <c r="B640" s="63"/>
      <c r="C640" s="63"/>
      <c r="D640" s="64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</row>
    <row r="641">
      <c r="A641" s="62"/>
      <c r="B641" s="63"/>
      <c r="C641" s="63"/>
      <c r="D641" s="64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</row>
    <row r="642">
      <c r="A642" s="62"/>
      <c r="B642" s="63"/>
      <c r="C642" s="63"/>
      <c r="D642" s="64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</row>
    <row r="643">
      <c r="A643" s="62"/>
      <c r="B643" s="63"/>
      <c r="C643" s="63"/>
      <c r="D643" s="64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</row>
    <row r="644">
      <c r="A644" s="62"/>
      <c r="B644" s="63"/>
      <c r="C644" s="63"/>
      <c r="D644" s="64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</row>
    <row r="645">
      <c r="A645" s="62"/>
      <c r="B645" s="63"/>
      <c r="C645" s="63"/>
      <c r="D645" s="64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</row>
    <row r="646">
      <c r="A646" s="62"/>
      <c r="B646" s="63"/>
      <c r="C646" s="63"/>
      <c r="D646" s="64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</row>
    <row r="647">
      <c r="A647" s="62"/>
      <c r="B647" s="63"/>
      <c r="C647" s="63"/>
      <c r="D647" s="64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</row>
    <row r="648">
      <c r="A648" s="62"/>
      <c r="B648" s="63"/>
      <c r="C648" s="63"/>
      <c r="D648" s="64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</row>
    <row r="649">
      <c r="A649" s="62"/>
      <c r="B649" s="63"/>
      <c r="C649" s="63"/>
      <c r="D649" s="64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</row>
    <row r="650">
      <c r="A650" s="62"/>
      <c r="B650" s="63"/>
      <c r="C650" s="63"/>
      <c r="D650" s="64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</row>
    <row r="651">
      <c r="A651" s="62"/>
      <c r="B651" s="63"/>
      <c r="C651" s="63"/>
      <c r="D651" s="64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</row>
    <row r="652">
      <c r="A652" s="62"/>
      <c r="B652" s="63"/>
      <c r="C652" s="63"/>
      <c r="D652" s="64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</row>
    <row r="653">
      <c r="A653" s="62"/>
      <c r="B653" s="63"/>
      <c r="C653" s="63"/>
      <c r="D653" s="64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</row>
    <row r="654">
      <c r="A654" s="62"/>
      <c r="B654" s="63"/>
      <c r="C654" s="63"/>
      <c r="D654" s="64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</row>
    <row r="655">
      <c r="A655" s="62"/>
      <c r="B655" s="63"/>
      <c r="C655" s="63"/>
      <c r="D655" s="64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</row>
    <row r="656">
      <c r="A656" s="62"/>
      <c r="B656" s="63"/>
      <c r="C656" s="63"/>
      <c r="D656" s="64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</row>
    <row r="657">
      <c r="A657" s="62"/>
      <c r="B657" s="63"/>
      <c r="C657" s="63"/>
      <c r="D657" s="64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</row>
    <row r="658">
      <c r="A658" s="62"/>
      <c r="B658" s="63"/>
      <c r="C658" s="63"/>
      <c r="D658" s="64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</row>
    <row r="659">
      <c r="A659" s="62"/>
      <c r="B659" s="63"/>
      <c r="C659" s="63"/>
      <c r="D659" s="64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</row>
    <row r="660">
      <c r="A660" s="62"/>
      <c r="B660" s="63"/>
      <c r="C660" s="63"/>
      <c r="D660" s="64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</row>
    <row r="661">
      <c r="A661" s="62"/>
      <c r="B661" s="63"/>
      <c r="C661" s="63"/>
      <c r="D661" s="64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</row>
    <row r="662">
      <c r="A662" s="62"/>
      <c r="B662" s="63"/>
      <c r="C662" s="63"/>
      <c r="D662" s="64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</row>
    <row r="663">
      <c r="A663" s="62"/>
      <c r="B663" s="63"/>
      <c r="C663" s="63"/>
      <c r="D663" s="64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</row>
    <row r="664">
      <c r="A664" s="62"/>
      <c r="B664" s="63"/>
      <c r="C664" s="63"/>
      <c r="D664" s="64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</row>
    <row r="665">
      <c r="A665" s="62"/>
      <c r="B665" s="63"/>
      <c r="C665" s="63"/>
      <c r="D665" s="64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</row>
    <row r="666">
      <c r="A666" s="62"/>
      <c r="B666" s="63"/>
      <c r="C666" s="63"/>
      <c r="D666" s="64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</row>
    <row r="667">
      <c r="A667" s="62"/>
      <c r="B667" s="63"/>
      <c r="C667" s="63"/>
      <c r="D667" s="64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</row>
    <row r="668">
      <c r="A668" s="62"/>
      <c r="B668" s="63"/>
      <c r="C668" s="63"/>
      <c r="D668" s="64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</row>
    <row r="669">
      <c r="A669" s="62"/>
      <c r="B669" s="63"/>
      <c r="C669" s="63"/>
      <c r="D669" s="64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</row>
    <row r="670">
      <c r="A670" s="62"/>
      <c r="B670" s="63"/>
      <c r="C670" s="63"/>
      <c r="D670" s="64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</row>
    <row r="671">
      <c r="A671" s="62"/>
      <c r="B671" s="63"/>
      <c r="C671" s="63"/>
      <c r="D671" s="64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</row>
    <row r="672">
      <c r="A672" s="62"/>
      <c r="B672" s="63"/>
      <c r="C672" s="63"/>
      <c r="D672" s="64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</row>
    <row r="673">
      <c r="A673" s="62"/>
      <c r="B673" s="63"/>
      <c r="C673" s="63"/>
      <c r="D673" s="64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</row>
    <row r="674">
      <c r="A674" s="62"/>
      <c r="B674" s="63"/>
      <c r="C674" s="63"/>
      <c r="D674" s="64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</row>
    <row r="675">
      <c r="A675" s="62"/>
      <c r="B675" s="63"/>
      <c r="C675" s="63"/>
      <c r="D675" s="64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</row>
    <row r="676">
      <c r="A676" s="62"/>
      <c r="B676" s="63"/>
      <c r="C676" s="63"/>
      <c r="D676" s="64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</row>
    <row r="677">
      <c r="A677" s="62"/>
      <c r="B677" s="63"/>
      <c r="C677" s="63"/>
      <c r="D677" s="64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</row>
    <row r="678">
      <c r="A678" s="62"/>
      <c r="B678" s="63"/>
      <c r="C678" s="63"/>
      <c r="D678" s="64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</row>
    <row r="679">
      <c r="A679" s="62"/>
      <c r="B679" s="63"/>
      <c r="C679" s="63"/>
      <c r="D679" s="64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</row>
    <row r="680">
      <c r="A680" s="62"/>
      <c r="B680" s="63"/>
      <c r="C680" s="63"/>
      <c r="D680" s="64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</row>
    <row r="681">
      <c r="A681" s="62"/>
      <c r="B681" s="63"/>
      <c r="C681" s="63"/>
      <c r="D681" s="64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</row>
    <row r="682">
      <c r="A682" s="62"/>
      <c r="B682" s="63"/>
      <c r="C682" s="63"/>
      <c r="D682" s="64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</row>
    <row r="683">
      <c r="A683" s="62"/>
      <c r="B683" s="63"/>
      <c r="C683" s="63"/>
      <c r="D683" s="64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</row>
    <row r="684">
      <c r="A684" s="62"/>
      <c r="B684" s="63"/>
      <c r="C684" s="63"/>
      <c r="D684" s="64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</row>
    <row r="685">
      <c r="A685" s="62"/>
      <c r="B685" s="63"/>
      <c r="C685" s="63"/>
      <c r="D685" s="64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</row>
    <row r="686">
      <c r="A686" s="62"/>
      <c r="B686" s="63"/>
      <c r="C686" s="63"/>
      <c r="D686" s="64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</row>
    <row r="687">
      <c r="A687" s="62"/>
      <c r="B687" s="63"/>
      <c r="C687" s="63"/>
      <c r="D687" s="64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</row>
    <row r="688">
      <c r="A688" s="62"/>
      <c r="B688" s="63"/>
      <c r="C688" s="63"/>
      <c r="D688" s="64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</row>
    <row r="689">
      <c r="A689" s="62"/>
      <c r="B689" s="63"/>
      <c r="C689" s="63"/>
      <c r="D689" s="64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</row>
    <row r="690">
      <c r="A690" s="62"/>
      <c r="B690" s="63"/>
      <c r="C690" s="63"/>
      <c r="D690" s="64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</row>
    <row r="691">
      <c r="A691" s="62"/>
      <c r="B691" s="63"/>
      <c r="C691" s="63"/>
      <c r="D691" s="64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</row>
    <row r="692">
      <c r="A692" s="62"/>
      <c r="B692" s="63"/>
      <c r="C692" s="63"/>
      <c r="D692" s="64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</row>
    <row r="693">
      <c r="A693" s="62"/>
      <c r="B693" s="63"/>
      <c r="C693" s="63"/>
      <c r="D693" s="64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</row>
    <row r="694">
      <c r="A694" s="62"/>
      <c r="B694" s="63"/>
      <c r="C694" s="63"/>
      <c r="D694" s="64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</row>
    <row r="695">
      <c r="A695" s="62"/>
      <c r="B695" s="63"/>
      <c r="C695" s="63"/>
      <c r="D695" s="64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</row>
    <row r="696">
      <c r="A696" s="62"/>
      <c r="B696" s="63"/>
      <c r="C696" s="63"/>
      <c r="D696" s="64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</row>
    <row r="697">
      <c r="A697" s="62"/>
      <c r="B697" s="63"/>
      <c r="C697" s="63"/>
      <c r="D697" s="64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</row>
    <row r="698">
      <c r="A698" s="62"/>
      <c r="B698" s="63"/>
      <c r="C698" s="63"/>
      <c r="D698" s="64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</row>
    <row r="699">
      <c r="A699" s="62"/>
      <c r="B699" s="63"/>
      <c r="C699" s="63"/>
      <c r="D699" s="64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</row>
    <row r="700">
      <c r="A700" s="62"/>
      <c r="B700" s="63"/>
      <c r="C700" s="63"/>
      <c r="D700" s="64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</row>
    <row r="701">
      <c r="A701" s="62"/>
      <c r="B701" s="63"/>
      <c r="C701" s="63"/>
      <c r="D701" s="64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</row>
    <row r="702">
      <c r="A702" s="62"/>
      <c r="B702" s="63"/>
      <c r="C702" s="63"/>
      <c r="D702" s="64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</row>
    <row r="703">
      <c r="A703" s="62"/>
      <c r="B703" s="63"/>
      <c r="C703" s="63"/>
      <c r="D703" s="64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</row>
    <row r="704">
      <c r="A704" s="62"/>
      <c r="B704" s="63"/>
      <c r="C704" s="63"/>
      <c r="D704" s="64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</row>
    <row r="705">
      <c r="A705" s="62"/>
      <c r="B705" s="63"/>
      <c r="C705" s="63"/>
      <c r="D705" s="64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</row>
    <row r="706">
      <c r="A706" s="62"/>
      <c r="B706" s="63"/>
      <c r="C706" s="63"/>
      <c r="D706" s="64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</row>
    <row r="707">
      <c r="A707" s="62"/>
      <c r="B707" s="63"/>
      <c r="C707" s="63"/>
      <c r="D707" s="64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</row>
    <row r="708">
      <c r="A708" s="62"/>
      <c r="B708" s="63"/>
      <c r="C708" s="63"/>
      <c r="D708" s="64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</row>
    <row r="709">
      <c r="A709" s="62"/>
      <c r="B709" s="63"/>
      <c r="C709" s="63"/>
      <c r="D709" s="64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</row>
    <row r="710">
      <c r="A710" s="62"/>
      <c r="B710" s="63"/>
      <c r="C710" s="63"/>
      <c r="D710" s="64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</row>
    <row r="711">
      <c r="A711" s="62"/>
      <c r="B711" s="63"/>
      <c r="C711" s="63"/>
      <c r="D711" s="64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</row>
    <row r="712">
      <c r="A712" s="62"/>
      <c r="B712" s="63"/>
      <c r="C712" s="63"/>
      <c r="D712" s="64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</row>
    <row r="713">
      <c r="A713" s="62"/>
      <c r="B713" s="63"/>
      <c r="C713" s="63"/>
      <c r="D713" s="64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</row>
    <row r="714">
      <c r="A714" s="62"/>
      <c r="B714" s="63"/>
      <c r="C714" s="63"/>
      <c r="D714" s="64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</row>
    <row r="715">
      <c r="A715" s="62"/>
      <c r="B715" s="63"/>
      <c r="C715" s="63"/>
      <c r="D715" s="64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</row>
    <row r="716">
      <c r="A716" s="62"/>
      <c r="B716" s="63"/>
      <c r="C716" s="63"/>
      <c r="D716" s="64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</row>
    <row r="717">
      <c r="A717" s="62"/>
      <c r="B717" s="63"/>
      <c r="C717" s="63"/>
      <c r="D717" s="64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</row>
    <row r="718">
      <c r="A718" s="62"/>
      <c r="B718" s="63"/>
      <c r="C718" s="63"/>
      <c r="D718" s="64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</row>
    <row r="719">
      <c r="A719" s="62"/>
      <c r="B719" s="63"/>
      <c r="C719" s="63"/>
      <c r="D719" s="64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</row>
    <row r="720">
      <c r="A720" s="62"/>
      <c r="B720" s="63"/>
      <c r="C720" s="63"/>
      <c r="D720" s="64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</row>
    <row r="721">
      <c r="A721" s="62"/>
      <c r="B721" s="63"/>
      <c r="C721" s="63"/>
      <c r="D721" s="64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</row>
    <row r="722">
      <c r="A722" s="62"/>
      <c r="B722" s="63"/>
      <c r="C722" s="63"/>
      <c r="D722" s="64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</row>
    <row r="723">
      <c r="A723" s="62"/>
      <c r="B723" s="63"/>
      <c r="C723" s="63"/>
      <c r="D723" s="64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</row>
    <row r="724">
      <c r="A724" s="62"/>
      <c r="B724" s="63"/>
      <c r="C724" s="63"/>
      <c r="D724" s="64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</row>
    <row r="725">
      <c r="A725" s="62"/>
      <c r="B725" s="63"/>
      <c r="C725" s="63"/>
      <c r="D725" s="64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</row>
    <row r="726">
      <c r="A726" s="62"/>
      <c r="B726" s="63"/>
      <c r="C726" s="63"/>
      <c r="D726" s="64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</row>
    <row r="727">
      <c r="A727" s="62"/>
      <c r="B727" s="63"/>
      <c r="C727" s="63"/>
      <c r="D727" s="64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</row>
    <row r="728">
      <c r="A728" s="62"/>
      <c r="B728" s="63"/>
      <c r="C728" s="63"/>
      <c r="D728" s="64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</row>
    <row r="729">
      <c r="A729" s="62"/>
      <c r="B729" s="63"/>
      <c r="C729" s="63"/>
      <c r="D729" s="64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</row>
    <row r="730">
      <c r="A730" s="62"/>
      <c r="B730" s="63"/>
      <c r="C730" s="63"/>
      <c r="D730" s="64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</row>
    <row r="731">
      <c r="A731" s="62"/>
      <c r="B731" s="63"/>
      <c r="C731" s="63"/>
      <c r="D731" s="64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</row>
    <row r="732">
      <c r="A732" s="62"/>
      <c r="B732" s="63"/>
      <c r="C732" s="63"/>
      <c r="D732" s="64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</row>
    <row r="733">
      <c r="A733" s="62"/>
      <c r="B733" s="63"/>
      <c r="C733" s="63"/>
      <c r="D733" s="64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</row>
    <row r="734">
      <c r="A734" s="62"/>
      <c r="B734" s="63"/>
      <c r="C734" s="63"/>
      <c r="D734" s="64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</row>
    <row r="735">
      <c r="A735" s="62"/>
      <c r="B735" s="63"/>
      <c r="C735" s="63"/>
      <c r="D735" s="64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</row>
    <row r="736">
      <c r="A736" s="62"/>
      <c r="B736" s="63"/>
      <c r="C736" s="63"/>
      <c r="D736" s="64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</row>
    <row r="737">
      <c r="A737" s="62"/>
      <c r="B737" s="63"/>
      <c r="C737" s="63"/>
      <c r="D737" s="64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</row>
    <row r="738">
      <c r="A738" s="62"/>
      <c r="B738" s="63"/>
      <c r="C738" s="63"/>
      <c r="D738" s="64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</row>
    <row r="739">
      <c r="A739" s="62"/>
      <c r="B739" s="63"/>
      <c r="C739" s="63"/>
      <c r="D739" s="64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</row>
    <row r="740">
      <c r="A740" s="62"/>
      <c r="B740" s="63"/>
      <c r="C740" s="63"/>
      <c r="D740" s="64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</row>
    <row r="741">
      <c r="A741" s="62"/>
      <c r="B741" s="63"/>
      <c r="C741" s="63"/>
      <c r="D741" s="64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</row>
    <row r="742">
      <c r="A742" s="62"/>
      <c r="B742" s="63"/>
      <c r="C742" s="63"/>
      <c r="D742" s="64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</row>
    <row r="743">
      <c r="A743" s="62"/>
      <c r="B743" s="63"/>
      <c r="C743" s="63"/>
      <c r="D743" s="64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</row>
    <row r="744">
      <c r="A744" s="62"/>
      <c r="B744" s="63"/>
      <c r="C744" s="63"/>
      <c r="D744" s="64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</row>
    <row r="745">
      <c r="A745" s="62"/>
      <c r="B745" s="63"/>
      <c r="C745" s="63"/>
      <c r="D745" s="64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</row>
    <row r="746">
      <c r="A746" s="62"/>
      <c r="B746" s="63"/>
      <c r="C746" s="63"/>
      <c r="D746" s="64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</row>
    <row r="747">
      <c r="A747" s="62"/>
      <c r="B747" s="63"/>
      <c r="C747" s="63"/>
      <c r="D747" s="64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</row>
    <row r="748">
      <c r="A748" s="62"/>
      <c r="B748" s="63"/>
      <c r="C748" s="63"/>
      <c r="D748" s="64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</row>
    <row r="749">
      <c r="A749" s="62"/>
      <c r="B749" s="63"/>
      <c r="C749" s="63"/>
      <c r="D749" s="64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</row>
    <row r="750">
      <c r="A750" s="62"/>
      <c r="B750" s="63"/>
      <c r="C750" s="63"/>
      <c r="D750" s="64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</row>
    <row r="751">
      <c r="A751" s="62"/>
      <c r="B751" s="63"/>
      <c r="C751" s="63"/>
      <c r="D751" s="64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</row>
    <row r="752">
      <c r="A752" s="62"/>
      <c r="B752" s="63"/>
      <c r="C752" s="63"/>
      <c r="D752" s="64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</row>
    <row r="753">
      <c r="A753" s="62"/>
      <c r="B753" s="63"/>
      <c r="C753" s="63"/>
      <c r="D753" s="64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</row>
    <row r="754">
      <c r="A754" s="62"/>
      <c r="B754" s="63"/>
      <c r="C754" s="63"/>
      <c r="D754" s="64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</row>
    <row r="755">
      <c r="A755" s="62"/>
      <c r="B755" s="63"/>
      <c r="C755" s="63"/>
      <c r="D755" s="64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</row>
    <row r="756">
      <c r="A756" s="62"/>
      <c r="B756" s="63"/>
      <c r="C756" s="63"/>
      <c r="D756" s="64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</row>
    <row r="757">
      <c r="A757" s="62"/>
      <c r="B757" s="63"/>
      <c r="C757" s="63"/>
      <c r="D757" s="64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</row>
    <row r="758">
      <c r="A758" s="62"/>
      <c r="B758" s="63"/>
      <c r="C758" s="63"/>
      <c r="D758" s="64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</row>
    <row r="759">
      <c r="A759" s="62"/>
      <c r="B759" s="63"/>
      <c r="C759" s="63"/>
      <c r="D759" s="64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</row>
    <row r="760">
      <c r="A760" s="62"/>
      <c r="B760" s="63"/>
      <c r="C760" s="63"/>
      <c r="D760" s="64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</row>
    <row r="761">
      <c r="A761" s="62"/>
      <c r="B761" s="63"/>
      <c r="C761" s="63"/>
      <c r="D761" s="64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</row>
    <row r="762">
      <c r="A762" s="62"/>
      <c r="B762" s="63"/>
      <c r="C762" s="63"/>
      <c r="D762" s="64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</row>
    <row r="763">
      <c r="A763" s="62"/>
      <c r="B763" s="63"/>
      <c r="C763" s="63"/>
      <c r="D763" s="64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</row>
    <row r="764">
      <c r="A764" s="62"/>
      <c r="B764" s="63"/>
      <c r="C764" s="63"/>
      <c r="D764" s="64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</row>
    <row r="765">
      <c r="A765" s="62"/>
      <c r="B765" s="63"/>
      <c r="C765" s="63"/>
      <c r="D765" s="64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</row>
    <row r="766">
      <c r="A766" s="62"/>
      <c r="B766" s="63"/>
      <c r="C766" s="63"/>
      <c r="D766" s="64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</row>
    <row r="767">
      <c r="A767" s="62"/>
      <c r="B767" s="63"/>
      <c r="C767" s="63"/>
      <c r="D767" s="64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</row>
    <row r="768">
      <c r="A768" s="62"/>
      <c r="B768" s="63"/>
      <c r="C768" s="63"/>
      <c r="D768" s="64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</row>
    <row r="769">
      <c r="A769" s="62"/>
      <c r="B769" s="63"/>
      <c r="C769" s="63"/>
      <c r="D769" s="64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</row>
    <row r="770">
      <c r="A770" s="62"/>
      <c r="B770" s="63"/>
      <c r="C770" s="63"/>
      <c r="D770" s="64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</row>
    <row r="771">
      <c r="A771" s="62"/>
      <c r="B771" s="63"/>
      <c r="C771" s="63"/>
      <c r="D771" s="64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</row>
    <row r="772">
      <c r="A772" s="62"/>
      <c r="B772" s="63"/>
      <c r="C772" s="63"/>
      <c r="D772" s="64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</row>
    <row r="773">
      <c r="A773" s="62"/>
      <c r="B773" s="63"/>
      <c r="C773" s="63"/>
      <c r="D773" s="64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</row>
    <row r="774">
      <c r="A774" s="62"/>
      <c r="B774" s="63"/>
      <c r="C774" s="63"/>
      <c r="D774" s="64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</row>
    <row r="775">
      <c r="A775" s="62"/>
      <c r="B775" s="63"/>
      <c r="C775" s="63"/>
      <c r="D775" s="64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</row>
    <row r="776">
      <c r="A776" s="62"/>
      <c r="B776" s="63"/>
      <c r="C776" s="63"/>
      <c r="D776" s="64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</row>
    <row r="777">
      <c r="A777" s="62"/>
      <c r="B777" s="63"/>
      <c r="C777" s="63"/>
      <c r="D777" s="64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</row>
    <row r="778">
      <c r="A778" s="62"/>
      <c r="B778" s="63"/>
      <c r="C778" s="63"/>
      <c r="D778" s="64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</row>
    <row r="779">
      <c r="A779" s="62"/>
      <c r="B779" s="63"/>
      <c r="C779" s="63"/>
      <c r="D779" s="64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</row>
    <row r="780">
      <c r="A780" s="62"/>
      <c r="B780" s="63"/>
      <c r="C780" s="63"/>
      <c r="D780" s="64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</row>
    <row r="781">
      <c r="A781" s="62"/>
      <c r="B781" s="63"/>
      <c r="C781" s="63"/>
      <c r="D781" s="64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</row>
    <row r="782">
      <c r="A782" s="62"/>
      <c r="B782" s="63"/>
      <c r="C782" s="63"/>
      <c r="D782" s="64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</row>
    <row r="783">
      <c r="A783" s="62"/>
      <c r="B783" s="63"/>
      <c r="C783" s="63"/>
      <c r="D783" s="64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</row>
    <row r="784">
      <c r="A784" s="62"/>
      <c r="B784" s="63"/>
      <c r="C784" s="63"/>
      <c r="D784" s="64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</row>
    <row r="785">
      <c r="A785" s="62"/>
      <c r="B785" s="63"/>
      <c r="C785" s="63"/>
      <c r="D785" s="64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</row>
    <row r="786">
      <c r="A786" s="62"/>
      <c r="B786" s="63"/>
      <c r="C786" s="63"/>
      <c r="D786" s="64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</row>
    <row r="787">
      <c r="A787" s="62"/>
      <c r="B787" s="63"/>
      <c r="C787" s="63"/>
      <c r="D787" s="64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</row>
    <row r="788">
      <c r="A788" s="62"/>
      <c r="B788" s="63"/>
      <c r="C788" s="63"/>
      <c r="D788" s="64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</row>
    <row r="789">
      <c r="A789" s="62"/>
      <c r="B789" s="63"/>
      <c r="C789" s="63"/>
      <c r="D789" s="64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</row>
    <row r="790">
      <c r="A790" s="62"/>
      <c r="B790" s="63"/>
      <c r="C790" s="63"/>
      <c r="D790" s="64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</row>
    <row r="791">
      <c r="A791" s="62"/>
      <c r="B791" s="63"/>
      <c r="C791" s="63"/>
      <c r="D791" s="64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</row>
    <row r="792">
      <c r="A792" s="62"/>
      <c r="B792" s="63"/>
      <c r="C792" s="63"/>
      <c r="D792" s="64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</row>
    <row r="793">
      <c r="A793" s="62"/>
      <c r="B793" s="63"/>
      <c r="C793" s="63"/>
      <c r="D793" s="64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</row>
    <row r="794">
      <c r="A794" s="62"/>
      <c r="B794" s="63"/>
      <c r="C794" s="63"/>
      <c r="D794" s="64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</row>
    <row r="795">
      <c r="A795" s="62"/>
      <c r="B795" s="63"/>
      <c r="C795" s="63"/>
      <c r="D795" s="64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</row>
    <row r="796">
      <c r="A796" s="62"/>
      <c r="B796" s="63"/>
      <c r="C796" s="63"/>
      <c r="D796" s="64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</row>
    <row r="797">
      <c r="A797" s="62"/>
      <c r="B797" s="63"/>
      <c r="C797" s="63"/>
      <c r="D797" s="64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</row>
    <row r="798">
      <c r="A798" s="62"/>
      <c r="B798" s="63"/>
      <c r="C798" s="63"/>
      <c r="D798" s="64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</row>
    <row r="799">
      <c r="A799" s="62"/>
      <c r="B799" s="63"/>
      <c r="C799" s="63"/>
      <c r="D799" s="64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</row>
    <row r="800">
      <c r="A800" s="62"/>
      <c r="B800" s="63"/>
      <c r="C800" s="63"/>
      <c r="D800" s="64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</row>
    <row r="801">
      <c r="A801" s="62"/>
      <c r="B801" s="63"/>
      <c r="C801" s="63"/>
      <c r="D801" s="64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</row>
    <row r="802">
      <c r="A802" s="62"/>
      <c r="B802" s="63"/>
      <c r="C802" s="63"/>
      <c r="D802" s="64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</row>
    <row r="803">
      <c r="A803" s="62"/>
      <c r="B803" s="63"/>
      <c r="C803" s="63"/>
      <c r="D803" s="64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</row>
    <row r="804">
      <c r="A804" s="62"/>
      <c r="B804" s="63"/>
      <c r="C804" s="63"/>
      <c r="D804" s="64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</row>
    <row r="805">
      <c r="A805" s="62"/>
      <c r="B805" s="63"/>
      <c r="C805" s="63"/>
      <c r="D805" s="64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</row>
    <row r="806">
      <c r="A806" s="62"/>
      <c r="B806" s="63"/>
      <c r="C806" s="63"/>
      <c r="D806" s="64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</row>
    <row r="807">
      <c r="A807" s="62"/>
      <c r="B807" s="63"/>
      <c r="C807" s="63"/>
      <c r="D807" s="64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</row>
    <row r="808">
      <c r="A808" s="62"/>
      <c r="B808" s="63"/>
      <c r="C808" s="63"/>
      <c r="D808" s="64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</row>
    <row r="809">
      <c r="A809" s="62"/>
      <c r="B809" s="63"/>
      <c r="C809" s="63"/>
      <c r="D809" s="64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</row>
    <row r="810">
      <c r="A810" s="62"/>
      <c r="B810" s="63"/>
      <c r="C810" s="63"/>
      <c r="D810" s="64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</row>
    <row r="811">
      <c r="A811" s="62"/>
      <c r="B811" s="63"/>
      <c r="C811" s="63"/>
      <c r="D811" s="64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</row>
    <row r="812">
      <c r="A812" s="62"/>
      <c r="B812" s="63"/>
      <c r="C812" s="63"/>
      <c r="D812" s="64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</row>
    <row r="813">
      <c r="A813" s="62"/>
      <c r="B813" s="63"/>
      <c r="C813" s="63"/>
      <c r="D813" s="64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</row>
    <row r="814">
      <c r="A814" s="62"/>
      <c r="B814" s="63"/>
      <c r="C814" s="63"/>
      <c r="D814" s="64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</row>
    <row r="815">
      <c r="A815" s="62"/>
      <c r="B815" s="63"/>
      <c r="C815" s="63"/>
      <c r="D815" s="64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</row>
    <row r="816">
      <c r="A816" s="62"/>
      <c r="B816" s="63"/>
      <c r="C816" s="63"/>
      <c r="D816" s="64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</row>
    <row r="817">
      <c r="A817" s="62"/>
      <c r="B817" s="63"/>
      <c r="C817" s="63"/>
      <c r="D817" s="64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</row>
    <row r="818">
      <c r="A818" s="62"/>
      <c r="B818" s="63"/>
      <c r="C818" s="63"/>
      <c r="D818" s="64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</row>
    <row r="819">
      <c r="A819" s="62"/>
      <c r="B819" s="63"/>
      <c r="C819" s="63"/>
      <c r="D819" s="64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</row>
    <row r="820">
      <c r="A820" s="62"/>
      <c r="B820" s="63"/>
      <c r="C820" s="63"/>
      <c r="D820" s="64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</row>
    <row r="821">
      <c r="A821" s="62"/>
      <c r="B821" s="63"/>
      <c r="C821" s="63"/>
      <c r="D821" s="64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</row>
    <row r="822">
      <c r="A822" s="62"/>
      <c r="B822" s="63"/>
      <c r="C822" s="63"/>
      <c r="D822" s="64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</row>
    <row r="823">
      <c r="A823" s="62"/>
      <c r="B823" s="63"/>
      <c r="C823" s="63"/>
      <c r="D823" s="64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</row>
    <row r="824">
      <c r="A824" s="62"/>
      <c r="B824" s="63"/>
      <c r="C824" s="63"/>
      <c r="D824" s="64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</row>
    <row r="825">
      <c r="A825" s="62"/>
      <c r="B825" s="63"/>
      <c r="C825" s="63"/>
      <c r="D825" s="64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</row>
    <row r="826">
      <c r="A826" s="62"/>
      <c r="B826" s="63"/>
      <c r="C826" s="63"/>
      <c r="D826" s="64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</row>
    <row r="827">
      <c r="A827" s="62"/>
      <c r="B827" s="63"/>
      <c r="C827" s="63"/>
      <c r="D827" s="64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</row>
    <row r="828">
      <c r="A828" s="62"/>
      <c r="B828" s="63"/>
      <c r="C828" s="63"/>
      <c r="D828" s="64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</row>
    <row r="829">
      <c r="A829" s="62"/>
      <c r="B829" s="63"/>
      <c r="C829" s="63"/>
      <c r="D829" s="64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</row>
    <row r="830">
      <c r="A830" s="62"/>
      <c r="B830" s="63"/>
      <c r="C830" s="63"/>
      <c r="D830" s="64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</row>
    <row r="831">
      <c r="A831" s="62"/>
      <c r="B831" s="63"/>
      <c r="C831" s="63"/>
      <c r="D831" s="64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</row>
    <row r="832">
      <c r="A832" s="62"/>
      <c r="B832" s="63"/>
      <c r="C832" s="63"/>
      <c r="D832" s="64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</row>
    <row r="833">
      <c r="A833" s="62"/>
      <c r="B833" s="63"/>
      <c r="C833" s="63"/>
      <c r="D833" s="64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</row>
    <row r="834">
      <c r="A834" s="62"/>
      <c r="B834" s="63"/>
      <c r="C834" s="63"/>
      <c r="D834" s="64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</row>
    <row r="835">
      <c r="A835" s="62"/>
      <c r="B835" s="63"/>
      <c r="C835" s="63"/>
      <c r="D835" s="64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</row>
    <row r="836">
      <c r="A836" s="62"/>
      <c r="B836" s="63"/>
      <c r="C836" s="63"/>
      <c r="D836" s="64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</row>
    <row r="837">
      <c r="A837" s="62"/>
      <c r="B837" s="63"/>
      <c r="C837" s="63"/>
      <c r="D837" s="64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</row>
    <row r="838">
      <c r="A838" s="62"/>
      <c r="B838" s="63"/>
      <c r="C838" s="63"/>
      <c r="D838" s="64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</row>
    <row r="839">
      <c r="A839" s="62"/>
      <c r="B839" s="63"/>
      <c r="C839" s="63"/>
      <c r="D839" s="64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</row>
    <row r="840">
      <c r="A840" s="62"/>
      <c r="B840" s="63"/>
      <c r="C840" s="63"/>
      <c r="D840" s="64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</row>
    <row r="841">
      <c r="A841" s="62"/>
      <c r="B841" s="63"/>
      <c r="C841" s="63"/>
      <c r="D841" s="64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</row>
    <row r="842">
      <c r="A842" s="62"/>
      <c r="B842" s="63"/>
      <c r="C842" s="63"/>
      <c r="D842" s="64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</row>
    <row r="843">
      <c r="A843" s="62"/>
      <c r="B843" s="63"/>
      <c r="C843" s="63"/>
      <c r="D843" s="64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</row>
    <row r="844">
      <c r="A844" s="62"/>
      <c r="B844" s="63"/>
      <c r="C844" s="63"/>
      <c r="D844" s="64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</row>
    <row r="845">
      <c r="A845" s="62"/>
      <c r="B845" s="63"/>
      <c r="C845" s="63"/>
      <c r="D845" s="64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</row>
    <row r="846">
      <c r="A846" s="62"/>
      <c r="B846" s="63"/>
      <c r="C846" s="63"/>
      <c r="D846" s="64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</row>
    <row r="847">
      <c r="A847" s="62"/>
      <c r="B847" s="63"/>
      <c r="C847" s="63"/>
      <c r="D847" s="64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</row>
    <row r="848">
      <c r="A848" s="62"/>
      <c r="B848" s="63"/>
      <c r="C848" s="63"/>
      <c r="D848" s="64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</row>
    <row r="849">
      <c r="A849" s="62"/>
      <c r="B849" s="63"/>
      <c r="C849" s="63"/>
      <c r="D849" s="64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</row>
    <row r="850">
      <c r="A850" s="62"/>
      <c r="B850" s="63"/>
      <c r="C850" s="63"/>
      <c r="D850" s="64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</row>
    <row r="851">
      <c r="A851" s="62"/>
      <c r="B851" s="63"/>
      <c r="C851" s="63"/>
      <c r="D851" s="64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</row>
    <row r="852">
      <c r="A852" s="62"/>
      <c r="B852" s="63"/>
      <c r="C852" s="63"/>
      <c r="D852" s="64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</row>
    <row r="853">
      <c r="A853" s="62"/>
      <c r="B853" s="63"/>
      <c r="C853" s="63"/>
      <c r="D853" s="64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</row>
    <row r="854">
      <c r="A854" s="62"/>
      <c r="B854" s="63"/>
      <c r="C854" s="63"/>
      <c r="D854" s="64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</row>
    <row r="855">
      <c r="A855" s="62"/>
      <c r="B855" s="63"/>
      <c r="C855" s="63"/>
      <c r="D855" s="64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</row>
    <row r="856">
      <c r="A856" s="62"/>
      <c r="B856" s="63"/>
      <c r="C856" s="63"/>
      <c r="D856" s="64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</row>
    <row r="857">
      <c r="A857" s="62"/>
      <c r="B857" s="63"/>
      <c r="C857" s="63"/>
      <c r="D857" s="64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</row>
    <row r="858">
      <c r="A858" s="62"/>
      <c r="B858" s="63"/>
      <c r="C858" s="63"/>
      <c r="D858" s="64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</row>
    <row r="859">
      <c r="A859" s="62"/>
      <c r="B859" s="63"/>
      <c r="C859" s="63"/>
      <c r="D859" s="64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</row>
    <row r="860">
      <c r="A860" s="62"/>
      <c r="B860" s="63"/>
      <c r="C860" s="63"/>
      <c r="D860" s="64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</row>
    <row r="861">
      <c r="A861" s="62"/>
      <c r="B861" s="63"/>
      <c r="C861" s="63"/>
      <c r="D861" s="64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</row>
    <row r="862">
      <c r="A862" s="62"/>
      <c r="B862" s="63"/>
      <c r="C862" s="63"/>
      <c r="D862" s="64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</row>
    <row r="863">
      <c r="A863" s="62"/>
      <c r="B863" s="63"/>
      <c r="C863" s="63"/>
      <c r="D863" s="64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</row>
    <row r="864">
      <c r="A864" s="62"/>
      <c r="B864" s="63"/>
      <c r="C864" s="63"/>
      <c r="D864" s="64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</row>
    <row r="865">
      <c r="A865" s="62"/>
      <c r="B865" s="63"/>
      <c r="C865" s="63"/>
      <c r="D865" s="64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</row>
    <row r="866">
      <c r="A866" s="62"/>
      <c r="B866" s="63"/>
      <c r="C866" s="63"/>
      <c r="D866" s="64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</row>
    <row r="867">
      <c r="A867" s="62"/>
      <c r="B867" s="63"/>
      <c r="C867" s="63"/>
      <c r="D867" s="64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</row>
    <row r="868">
      <c r="A868" s="62"/>
      <c r="B868" s="63"/>
      <c r="C868" s="63"/>
      <c r="D868" s="64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</row>
    <row r="869">
      <c r="A869" s="62"/>
      <c r="B869" s="63"/>
      <c r="C869" s="63"/>
      <c r="D869" s="64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</row>
    <row r="870">
      <c r="A870" s="62"/>
      <c r="B870" s="63"/>
      <c r="C870" s="63"/>
      <c r="D870" s="64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</row>
    <row r="871">
      <c r="A871" s="62"/>
      <c r="B871" s="63"/>
      <c r="C871" s="63"/>
      <c r="D871" s="64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</row>
    <row r="872">
      <c r="A872" s="62"/>
      <c r="B872" s="63"/>
      <c r="C872" s="63"/>
      <c r="D872" s="64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</row>
    <row r="873">
      <c r="A873" s="62"/>
      <c r="B873" s="63"/>
      <c r="C873" s="63"/>
      <c r="D873" s="64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</row>
    <row r="874">
      <c r="A874" s="62"/>
      <c r="B874" s="63"/>
      <c r="C874" s="63"/>
      <c r="D874" s="64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</row>
    <row r="875">
      <c r="A875" s="62"/>
      <c r="B875" s="63"/>
      <c r="C875" s="63"/>
      <c r="D875" s="64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</row>
    <row r="876">
      <c r="A876" s="62"/>
      <c r="B876" s="63"/>
      <c r="C876" s="63"/>
      <c r="D876" s="64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</row>
    <row r="877">
      <c r="A877" s="62"/>
      <c r="B877" s="63"/>
      <c r="C877" s="63"/>
      <c r="D877" s="64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</row>
    <row r="878">
      <c r="A878" s="62"/>
      <c r="B878" s="63"/>
      <c r="C878" s="63"/>
      <c r="D878" s="64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</row>
    <row r="879">
      <c r="A879" s="62"/>
      <c r="B879" s="63"/>
      <c r="C879" s="63"/>
      <c r="D879" s="64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</row>
    <row r="880">
      <c r="A880" s="62"/>
      <c r="B880" s="63"/>
      <c r="C880" s="63"/>
      <c r="D880" s="64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</row>
    <row r="881">
      <c r="A881" s="62"/>
      <c r="B881" s="63"/>
      <c r="C881" s="63"/>
      <c r="D881" s="64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</row>
    <row r="882">
      <c r="A882" s="62"/>
      <c r="B882" s="63"/>
      <c r="C882" s="63"/>
      <c r="D882" s="64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</row>
    <row r="883">
      <c r="A883" s="62"/>
      <c r="B883" s="63"/>
      <c r="C883" s="63"/>
      <c r="D883" s="64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</row>
    <row r="884">
      <c r="A884" s="62"/>
      <c r="B884" s="63"/>
      <c r="C884" s="63"/>
      <c r="D884" s="64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</row>
    <row r="885">
      <c r="A885" s="62"/>
      <c r="B885" s="63"/>
      <c r="C885" s="63"/>
      <c r="D885" s="64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</row>
    <row r="886">
      <c r="A886" s="62"/>
      <c r="B886" s="63"/>
      <c r="C886" s="63"/>
      <c r="D886" s="64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</row>
    <row r="887">
      <c r="A887" s="62"/>
      <c r="B887" s="63"/>
      <c r="C887" s="63"/>
      <c r="D887" s="64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</row>
    <row r="888">
      <c r="A888" s="62"/>
      <c r="B888" s="63"/>
      <c r="C888" s="63"/>
      <c r="D888" s="64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</row>
    <row r="889">
      <c r="A889" s="62"/>
      <c r="B889" s="63"/>
      <c r="C889" s="63"/>
      <c r="D889" s="64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</row>
    <row r="890">
      <c r="A890" s="62"/>
      <c r="B890" s="63"/>
      <c r="C890" s="63"/>
      <c r="D890" s="64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</row>
    <row r="891">
      <c r="A891" s="62"/>
      <c r="B891" s="63"/>
      <c r="C891" s="63"/>
      <c r="D891" s="64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</row>
    <row r="892">
      <c r="A892" s="62"/>
      <c r="B892" s="63"/>
      <c r="C892" s="63"/>
      <c r="D892" s="64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</row>
    <row r="893">
      <c r="A893" s="62"/>
      <c r="B893" s="63"/>
      <c r="C893" s="63"/>
      <c r="D893" s="64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</row>
    <row r="894">
      <c r="A894" s="62"/>
      <c r="B894" s="63"/>
      <c r="C894" s="63"/>
      <c r="D894" s="64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</row>
    <row r="895">
      <c r="A895" s="62"/>
      <c r="B895" s="63"/>
      <c r="C895" s="63"/>
      <c r="D895" s="64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</row>
    <row r="896">
      <c r="A896" s="62"/>
      <c r="B896" s="63"/>
      <c r="C896" s="63"/>
      <c r="D896" s="64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</row>
    <row r="897">
      <c r="A897" s="62"/>
      <c r="B897" s="63"/>
      <c r="C897" s="63"/>
      <c r="D897" s="64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</row>
    <row r="898">
      <c r="A898" s="62"/>
      <c r="B898" s="63"/>
      <c r="C898" s="63"/>
      <c r="D898" s="64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</row>
    <row r="899">
      <c r="A899" s="62"/>
      <c r="B899" s="63"/>
      <c r="C899" s="63"/>
      <c r="D899" s="64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</row>
    <row r="900">
      <c r="A900" s="62"/>
      <c r="B900" s="63"/>
      <c r="C900" s="63"/>
      <c r="D900" s="64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</row>
    <row r="901">
      <c r="A901" s="62"/>
      <c r="B901" s="63"/>
      <c r="C901" s="63"/>
      <c r="D901" s="64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</row>
    <row r="902">
      <c r="A902" s="62"/>
      <c r="B902" s="63"/>
      <c r="C902" s="63"/>
      <c r="D902" s="64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</row>
    <row r="903">
      <c r="A903" s="62"/>
      <c r="B903" s="63"/>
      <c r="C903" s="63"/>
      <c r="D903" s="64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</row>
    <row r="904">
      <c r="A904" s="62"/>
      <c r="B904" s="63"/>
      <c r="C904" s="63"/>
      <c r="D904" s="64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</row>
    <row r="905">
      <c r="A905" s="62"/>
      <c r="B905" s="63"/>
      <c r="C905" s="63"/>
      <c r="D905" s="64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</row>
    <row r="906">
      <c r="A906" s="62"/>
      <c r="B906" s="63"/>
      <c r="C906" s="63"/>
      <c r="D906" s="64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</row>
    <row r="907">
      <c r="A907" s="62"/>
      <c r="B907" s="63"/>
      <c r="C907" s="63"/>
      <c r="D907" s="64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</row>
    <row r="908">
      <c r="A908" s="62"/>
      <c r="B908" s="63"/>
      <c r="C908" s="63"/>
      <c r="D908" s="64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</row>
    <row r="909">
      <c r="A909" s="62"/>
      <c r="B909" s="63"/>
      <c r="C909" s="63"/>
      <c r="D909" s="64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</row>
    <row r="910">
      <c r="A910" s="62"/>
      <c r="B910" s="63"/>
      <c r="C910" s="63"/>
      <c r="D910" s="64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</row>
    <row r="911">
      <c r="A911" s="62"/>
      <c r="B911" s="63"/>
      <c r="C911" s="63"/>
      <c r="D911" s="64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</row>
    <row r="912">
      <c r="A912" s="62"/>
      <c r="B912" s="63"/>
      <c r="C912" s="63"/>
      <c r="D912" s="64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</row>
    <row r="913">
      <c r="A913" s="62"/>
      <c r="B913" s="63"/>
      <c r="C913" s="63"/>
      <c r="D913" s="64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</row>
    <row r="914">
      <c r="A914" s="62"/>
      <c r="B914" s="63"/>
      <c r="C914" s="63"/>
      <c r="D914" s="64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</row>
    <row r="915">
      <c r="A915" s="62"/>
      <c r="B915" s="63"/>
      <c r="C915" s="63"/>
      <c r="D915" s="64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</row>
    <row r="916">
      <c r="A916" s="62"/>
      <c r="B916" s="63"/>
      <c r="C916" s="63"/>
      <c r="D916" s="64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</row>
    <row r="917">
      <c r="A917" s="62"/>
      <c r="B917" s="63"/>
      <c r="C917" s="63"/>
      <c r="D917" s="64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</row>
    <row r="918">
      <c r="A918" s="62"/>
      <c r="B918" s="63"/>
      <c r="C918" s="63"/>
      <c r="D918" s="64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</row>
    <row r="919">
      <c r="A919" s="62"/>
      <c r="B919" s="63"/>
      <c r="C919" s="63"/>
      <c r="D919" s="64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</row>
    <row r="920">
      <c r="A920" s="62"/>
      <c r="B920" s="63"/>
      <c r="C920" s="63"/>
      <c r="D920" s="64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</row>
    <row r="921">
      <c r="A921" s="62"/>
      <c r="B921" s="63"/>
      <c r="C921" s="63"/>
      <c r="D921" s="64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</row>
    <row r="922">
      <c r="A922" s="62"/>
      <c r="B922" s="63"/>
      <c r="C922" s="63"/>
      <c r="D922" s="64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</row>
    <row r="923">
      <c r="A923" s="62"/>
      <c r="B923" s="63"/>
      <c r="C923" s="63"/>
      <c r="D923" s="64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</row>
    <row r="924">
      <c r="A924" s="62"/>
      <c r="B924" s="63"/>
      <c r="C924" s="63"/>
      <c r="D924" s="64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</row>
    <row r="925">
      <c r="A925" s="62"/>
      <c r="B925" s="63"/>
      <c r="C925" s="63"/>
      <c r="D925" s="64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</row>
    <row r="926">
      <c r="A926" s="62"/>
      <c r="B926" s="63"/>
      <c r="C926" s="63"/>
      <c r="D926" s="64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</row>
    <row r="927">
      <c r="A927" s="62"/>
      <c r="B927" s="63"/>
      <c r="C927" s="63"/>
      <c r="D927" s="64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</row>
    <row r="928">
      <c r="A928" s="62"/>
      <c r="B928" s="63"/>
      <c r="C928" s="63"/>
      <c r="D928" s="64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</row>
    <row r="929">
      <c r="A929" s="62"/>
      <c r="B929" s="63"/>
      <c r="C929" s="63"/>
      <c r="D929" s="64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</row>
    <row r="930">
      <c r="A930" s="62"/>
      <c r="B930" s="63"/>
      <c r="C930" s="63"/>
      <c r="D930" s="64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</row>
    <row r="931">
      <c r="A931" s="62"/>
      <c r="B931" s="63"/>
      <c r="C931" s="63"/>
      <c r="D931" s="64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</row>
    <row r="932">
      <c r="A932" s="62"/>
      <c r="B932" s="63"/>
      <c r="C932" s="63"/>
      <c r="D932" s="64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</row>
    <row r="933">
      <c r="A933" s="62"/>
      <c r="B933" s="63"/>
      <c r="C933" s="63"/>
      <c r="D933" s="64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</row>
    <row r="934">
      <c r="A934" s="62"/>
      <c r="B934" s="63"/>
      <c r="C934" s="63"/>
      <c r="D934" s="64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</row>
    <row r="935">
      <c r="A935" s="62"/>
      <c r="B935" s="63"/>
      <c r="C935" s="63"/>
      <c r="D935" s="64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</row>
    <row r="936">
      <c r="A936" s="62"/>
      <c r="B936" s="63"/>
      <c r="C936" s="63"/>
      <c r="D936" s="64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</row>
    <row r="937">
      <c r="A937" s="62"/>
      <c r="B937" s="63"/>
      <c r="C937" s="63"/>
      <c r="D937" s="64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</row>
    <row r="938">
      <c r="A938" s="62"/>
      <c r="B938" s="63"/>
      <c r="C938" s="63"/>
      <c r="D938" s="64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</row>
    <row r="939">
      <c r="A939" s="62"/>
      <c r="B939" s="63"/>
      <c r="C939" s="63"/>
      <c r="D939" s="64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</row>
    <row r="940">
      <c r="A940" s="62"/>
      <c r="B940" s="63"/>
      <c r="C940" s="63"/>
      <c r="D940" s="64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</row>
    <row r="941">
      <c r="A941" s="62"/>
      <c r="B941" s="63"/>
      <c r="C941" s="63"/>
      <c r="D941" s="64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</row>
    <row r="942">
      <c r="A942" s="62"/>
      <c r="B942" s="63"/>
      <c r="C942" s="63"/>
      <c r="D942" s="64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</row>
    <row r="943">
      <c r="A943" s="62"/>
      <c r="B943" s="63"/>
      <c r="C943" s="63"/>
      <c r="D943" s="64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</row>
    <row r="944">
      <c r="A944" s="62"/>
      <c r="B944" s="63"/>
      <c r="C944" s="63"/>
      <c r="D944" s="64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</row>
    <row r="945">
      <c r="A945" s="62"/>
      <c r="B945" s="63"/>
      <c r="C945" s="63"/>
      <c r="D945" s="64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</row>
    <row r="946">
      <c r="A946" s="62"/>
      <c r="B946" s="63"/>
      <c r="C946" s="63"/>
      <c r="D946" s="64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</row>
    <row r="947">
      <c r="A947" s="62"/>
      <c r="B947" s="63"/>
      <c r="C947" s="63"/>
      <c r="D947" s="64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</row>
    <row r="948">
      <c r="A948" s="62"/>
      <c r="B948" s="63"/>
      <c r="C948" s="63"/>
      <c r="D948" s="64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</row>
    <row r="949">
      <c r="A949" s="62"/>
      <c r="B949" s="63"/>
      <c r="C949" s="63"/>
      <c r="D949" s="64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</row>
    <row r="950">
      <c r="A950" s="62"/>
      <c r="B950" s="63"/>
      <c r="C950" s="63"/>
      <c r="D950" s="64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</row>
    <row r="951">
      <c r="A951" s="62"/>
      <c r="B951" s="63"/>
      <c r="C951" s="63"/>
      <c r="D951" s="64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</row>
    <row r="952">
      <c r="A952" s="62"/>
      <c r="B952" s="63"/>
      <c r="C952" s="63"/>
      <c r="D952" s="64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</row>
    <row r="953">
      <c r="A953" s="62"/>
      <c r="B953" s="63"/>
      <c r="C953" s="63"/>
      <c r="D953" s="64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</row>
    <row r="954">
      <c r="A954" s="62"/>
      <c r="B954" s="63"/>
      <c r="C954" s="63"/>
      <c r="D954" s="64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</row>
    <row r="955">
      <c r="A955" s="62"/>
      <c r="B955" s="63"/>
      <c r="C955" s="63"/>
      <c r="D955" s="64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</row>
    <row r="956">
      <c r="A956" s="62"/>
      <c r="B956" s="63"/>
      <c r="C956" s="63"/>
      <c r="D956" s="64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</row>
    <row r="957">
      <c r="A957" s="62"/>
      <c r="B957" s="63"/>
      <c r="C957" s="63"/>
      <c r="D957" s="64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</row>
    <row r="958">
      <c r="A958" s="62"/>
      <c r="B958" s="63"/>
      <c r="C958" s="63"/>
      <c r="D958" s="64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</row>
    <row r="959">
      <c r="A959" s="62"/>
      <c r="B959" s="63"/>
      <c r="C959" s="63"/>
      <c r="D959" s="64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</row>
    <row r="960">
      <c r="A960" s="62"/>
      <c r="B960" s="63"/>
      <c r="C960" s="63"/>
      <c r="D960" s="64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</row>
    <row r="961">
      <c r="A961" s="62"/>
      <c r="B961" s="63"/>
      <c r="C961" s="63"/>
      <c r="D961" s="64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</row>
    <row r="962">
      <c r="A962" s="62"/>
      <c r="B962" s="63"/>
      <c r="C962" s="63"/>
      <c r="D962" s="64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</row>
    <row r="963">
      <c r="A963" s="62"/>
      <c r="B963" s="63"/>
      <c r="C963" s="63"/>
      <c r="D963" s="64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</row>
    <row r="964">
      <c r="A964" s="62"/>
      <c r="B964" s="63"/>
      <c r="C964" s="63"/>
      <c r="D964" s="64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</row>
    <row r="965">
      <c r="A965" s="62"/>
      <c r="B965" s="63"/>
      <c r="C965" s="63"/>
      <c r="D965" s="64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</row>
    <row r="966">
      <c r="A966" s="62"/>
      <c r="B966" s="63"/>
      <c r="C966" s="63"/>
      <c r="D966" s="64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</row>
    <row r="967">
      <c r="A967" s="62"/>
      <c r="B967" s="63"/>
      <c r="C967" s="63"/>
      <c r="D967" s="64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</row>
    <row r="968">
      <c r="A968" s="62"/>
      <c r="B968" s="63"/>
      <c r="C968" s="63"/>
      <c r="D968" s="64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</row>
    <row r="969">
      <c r="A969" s="62"/>
      <c r="B969" s="63"/>
      <c r="C969" s="63"/>
      <c r="D969" s="64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</row>
    <row r="970">
      <c r="A970" s="62"/>
      <c r="B970" s="63"/>
      <c r="C970" s="63"/>
      <c r="D970" s="64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</row>
    <row r="971">
      <c r="A971" s="62"/>
      <c r="B971" s="63"/>
      <c r="C971" s="63"/>
      <c r="D971" s="64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</row>
    <row r="972">
      <c r="A972" s="62"/>
      <c r="B972" s="63"/>
      <c r="C972" s="63"/>
      <c r="D972" s="64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</row>
    <row r="973">
      <c r="A973" s="62"/>
      <c r="B973" s="63"/>
      <c r="C973" s="63"/>
      <c r="D973" s="64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</row>
    <row r="974">
      <c r="A974" s="62"/>
      <c r="B974" s="63"/>
      <c r="C974" s="63"/>
      <c r="D974" s="64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</row>
    <row r="975">
      <c r="A975" s="62"/>
      <c r="B975" s="63"/>
      <c r="C975" s="63"/>
      <c r="D975" s="64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</row>
    <row r="976">
      <c r="A976" s="62"/>
      <c r="B976" s="63"/>
      <c r="C976" s="63"/>
      <c r="D976" s="64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</row>
    <row r="977">
      <c r="A977" s="62"/>
      <c r="B977" s="63"/>
      <c r="C977" s="63"/>
      <c r="D977" s="64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</row>
    <row r="978">
      <c r="A978" s="62"/>
      <c r="B978" s="63"/>
      <c r="C978" s="63"/>
      <c r="D978" s="64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</row>
    <row r="979">
      <c r="A979" s="62"/>
      <c r="B979" s="63"/>
      <c r="C979" s="63"/>
      <c r="D979" s="64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</row>
    <row r="980">
      <c r="A980" s="62"/>
      <c r="B980" s="63"/>
      <c r="C980" s="63"/>
      <c r="D980" s="64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</row>
    <row r="981">
      <c r="A981" s="62"/>
      <c r="B981" s="63"/>
      <c r="C981" s="63"/>
      <c r="D981" s="64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</row>
    <row r="982">
      <c r="A982" s="62"/>
      <c r="B982" s="63"/>
      <c r="C982" s="63"/>
      <c r="D982" s="64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</row>
    <row r="983">
      <c r="A983" s="62"/>
      <c r="B983" s="63"/>
      <c r="C983" s="63"/>
      <c r="D983" s="64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</row>
    <row r="984">
      <c r="A984" s="62"/>
      <c r="B984" s="63"/>
      <c r="C984" s="63"/>
      <c r="D984" s="64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</row>
    <row r="985">
      <c r="A985" s="62"/>
      <c r="B985" s="63"/>
      <c r="C985" s="63"/>
      <c r="D985" s="64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</row>
    <row r="986">
      <c r="A986" s="62"/>
      <c r="B986" s="63"/>
      <c r="C986" s="63"/>
      <c r="D986" s="64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</row>
    <row r="987">
      <c r="A987" s="62"/>
      <c r="B987" s="63"/>
      <c r="C987" s="63"/>
      <c r="D987" s="64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</row>
    <row r="988">
      <c r="A988" s="62"/>
      <c r="B988" s="63"/>
      <c r="C988" s="63"/>
      <c r="D988" s="64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</row>
    <row r="989">
      <c r="A989" s="62"/>
      <c r="B989" s="63"/>
      <c r="C989" s="63"/>
      <c r="D989" s="64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</row>
    <row r="990">
      <c r="A990" s="62"/>
      <c r="B990" s="63"/>
      <c r="C990" s="63"/>
      <c r="D990" s="64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</row>
    <row r="991">
      <c r="A991" s="62"/>
      <c r="B991" s="63"/>
      <c r="C991" s="63"/>
      <c r="D991" s="64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</row>
    <row r="992">
      <c r="A992" s="62"/>
      <c r="B992" s="63"/>
      <c r="C992" s="63"/>
      <c r="D992" s="64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</row>
    <row r="993">
      <c r="A993" s="62"/>
      <c r="B993" s="63"/>
      <c r="C993" s="63"/>
      <c r="D993" s="64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</row>
    <row r="994">
      <c r="A994" s="62"/>
      <c r="B994" s="63"/>
      <c r="C994" s="63"/>
      <c r="D994" s="64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</row>
    <row r="995">
      <c r="A995" s="62"/>
      <c r="B995" s="63"/>
      <c r="C995" s="63"/>
      <c r="D995" s="64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</row>
    <row r="996">
      <c r="A996" s="62"/>
      <c r="B996" s="63"/>
      <c r="C996" s="63"/>
      <c r="D996" s="64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</row>
    <row r="997">
      <c r="A997" s="62"/>
      <c r="B997" s="63"/>
      <c r="C997" s="63"/>
      <c r="D997" s="64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</row>
    <row r="998">
      <c r="A998" s="62"/>
      <c r="B998" s="63"/>
      <c r="C998" s="63"/>
      <c r="D998" s="64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</row>
    <row r="999">
      <c r="A999" s="62"/>
      <c r="B999" s="63"/>
      <c r="C999" s="63"/>
      <c r="D999" s="64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</row>
    <row r="1000">
      <c r="A1000" s="62"/>
      <c r="B1000" s="63"/>
      <c r="C1000" s="63"/>
      <c r="D1000" s="64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</row>
  </sheetData>
  <drawing r:id="rId1"/>
</worksheet>
</file>